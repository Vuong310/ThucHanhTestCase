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Tester\"/>
    </mc:Choice>
  </mc:AlternateContent>
  <xr:revisionPtr revIDLastSave="0" documentId="8_{97F2CEFB-FB48-4F52-AA7F-3F4D1169EA20}" xr6:coauthVersionLast="47" xr6:coauthVersionMax="47" xr10:uidLastSave="{00000000-0000-0000-0000-000000000000}"/>
  <bookViews>
    <workbookView xWindow="-110" yWindow="-110" windowWidth="19420" windowHeight="11500" activeTab="5" xr2:uid="{5F211177-BE62-459C-9611-01D3B3134E9E}"/>
  </bookViews>
  <sheets>
    <sheet name="Requirement" sheetId="5" r:id="rId1"/>
    <sheet name="Login" sheetId="8" r:id="rId2"/>
    <sheet name="login_logic" sheetId="4" r:id="rId3"/>
    <sheet name="Signup" sheetId="6" r:id="rId4"/>
    <sheet name="ConvertRate_logic" sheetId="3" r:id="rId5"/>
    <sheet name="ConvertRate"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7" i="8" l="1"/>
  <c r="A128" i="8"/>
  <c r="A129" i="8"/>
  <c r="A130" i="8"/>
  <c r="A131" i="8"/>
  <c r="A132" i="8"/>
  <c r="A133" i="8"/>
  <c r="A134" i="8"/>
  <c r="A135" i="8"/>
  <c r="A136" i="8"/>
  <c r="Q14" i="8"/>
  <c r="Q272" i="8"/>
  <c r="A272" i="8"/>
  <c r="Q271" i="8"/>
  <c r="A271" i="8"/>
  <c r="Q270" i="8"/>
  <c r="A270" i="8"/>
  <c r="Q269" i="8"/>
  <c r="A269" i="8"/>
  <c r="Q268" i="8"/>
  <c r="A268" i="8"/>
  <c r="Q267" i="8"/>
  <c r="A267" i="8"/>
  <c r="Q266" i="8"/>
  <c r="A266" i="8"/>
  <c r="Q265" i="8"/>
  <c r="A265" i="8"/>
  <c r="Q264" i="8"/>
  <c r="A264" i="8"/>
  <c r="Q263" i="8"/>
  <c r="A263" i="8"/>
  <c r="Q262" i="8"/>
  <c r="A262" i="8"/>
  <c r="Q261" i="8"/>
  <c r="A261" i="8"/>
  <c r="Q260" i="8"/>
  <c r="A260" i="8"/>
  <c r="Q259" i="8"/>
  <c r="A259" i="8"/>
  <c r="Q258" i="8"/>
  <c r="A258" i="8"/>
  <c r="Q257" i="8"/>
  <c r="A257" i="8"/>
  <c r="Q256" i="8"/>
  <c r="A256" i="8"/>
  <c r="Q255" i="8"/>
  <c r="A255" i="8"/>
  <c r="Q254" i="8"/>
  <c r="A254" i="8"/>
  <c r="Q253" i="8"/>
  <c r="A253" i="8"/>
  <c r="Q252" i="8"/>
  <c r="A252" i="8"/>
  <c r="Q251" i="8"/>
  <c r="A251" i="8"/>
  <c r="Q250" i="8"/>
  <c r="A250" i="8"/>
  <c r="Q249" i="8"/>
  <c r="A249" i="8"/>
  <c r="Q248" i="8"/>
  <c r="A248" i="8"/>
  <c r="Q247" i="8"/>
  <c r="A247" i="8"/>
  <c r="Q246" i="8"/>
  <c r="A246" i="8"/>
  <c r="Q245" i="8"/>
  <c r="A245" i="8"/>
  <c r="Q244" i="8"/>
  <c r="A244" i="8"/>
  <c r="Q243" i="8"/>
  <c r="A243" i="8"/>
  <c r="Q242" i="8"/>
  <c r="A242" i="8"/>
  <c r="Q241" i="8"/>
  <c r="A241" i="8"/>
  <c r="Q240" i="8"/>
  <c r="A240" i="8"/>
  <c r="Q239" i="8"/>
  <c r="A239" i="8"/>
  <c r="Q238" i="8"/>
  <c r="A238" i="8"/>
  <c r="Q237" i="8"/>
  <c r="A237" i="8"/>
  <c r="Q236" i="8"/>
  <c r="A236" i="8"/>
  <c r="Q235" i="8"/>
  <c r="A235" i="8"/>
  <c r="Q234" i="8"/>
  <c r="A234" i="8"/>
  <c r="Q233" i="8"/>
  <c r="A233" i="8"/>
  <c r="Q232" i="8"/>
  <c r="A232" i="8"/>
  <c r="Q231" i="8"/>
  <c r="A231" i="8"/>
  <c r="Q230" i="8"/>
  <c r="A230" i="8"/>
  <c r="Q229" i="8"/>
  <c r="A229" i="8"/>
  <c r="Q228" i="8"/>
  <c r="A228" i="8"/>
  <c r="Q227" i="8"/>
  <c r="A227" i="8"/>
  <c r="Q226" i="8"/>
  <c r="A226" i="8"/>
  <c r="Q225" i="8"/>
  <c r="A225" i="8"/>
  <c r="Q224" i="8"/>
  <c r="A224" i="8"/>
  <c r="Q223" i="8"/>
  <c r="A223" i="8"/>
  <c r="Q222" i="8"/>
  <c r="A222" i="8"/>
  <c r="Q221" i="8"/>
  <c r="A221" i="8"/>
  <c r="Q220" i="8"/>
  <c r="A220" i="8"/>
  <c r="Q219" i="8"/>
  <c r="A219" i="8"/>
  <c r="Q218" i="8"/>
  <c r="A218" i="8"/>
  <c r="Q217" i="8"/>
  <c r="A217" i="8"/>
  <c r="Q216" i="8"/>
  <c r="A216" i="8"/>
  <c r="Q215" i="8"/>
  <c r="A215" i="8"/>
  <c r="Q214" i="8"/>
  <c r="A214" i="8"/>
  <c r="Q213" i="8"/>
  <c r="A213" i="8"/>
  <c r="Q212" i="8"/>
  <c r="A212" i="8"/>
  <c r="Q211" i="8"/>
  <c r="A211" i="8"/>
  <c r="Q210" i="8"/>
  <c r="A210" i="8"/>
  <c r="Q209" i="8"/>
  <c r="A209" i="8"/>
  <c r="Q208" i="8"/>
  <c r="A208" i="8"/>
  <c r="Q207" i="8"/>
  <c r="A207" i="8"/>
  <c r="Q206" i="8"/>
  <c r="A206" i="8"/>
  <c r="Q205" i="8"/>
  <c r="A205" i="8"/>
  <c r="Q204" i="8"/>
  <c r="A204" i="8"/>
  <c r="Q203" i="8"/>
  <c r="A203" i="8"/>
  <c r="Q202" i="8"/>
  <c r="A202" i="8"/>
  <c r="Q201" i="8"/>
  <c r="A201" i="8"/>
  <c r="Q200" i="8"/>
  <c r="A200" i="8"/>
  <c r="Q199" i="8"/>
  <c r="A199" i="8"/>
  <c r="Q198" i="8"/>
  <c r="A198" i="8"/>
  <c r="Q197" i="8"/>
  <c r="A197" i="8"/>
  <c r="A196" i="8"/>
  <c r="Q195" i="8"/>
  <c r="A195" i="8"/>
  <c r="Q194" i="8"/>
  <c r="A194" i="8"/>
  <c r="Q193" i="8"/>
  <c r="A193" i="8"/>
  <c r="Q192" i="8"/>
  <c r="A192" i="8"/>
  <c r="Q191" i="8"/>
  <c r="A191" i="8"/>
  <c r="Q188" i="8"/>
  <c r="A188" i="8"/>
  <c r="Q187" i="8"/>
  <c r="A187" i="8"/>
  <c r="Q186" i="8"/>
  <c r="A186" i="8"/>
  <c r="Q185" i="8"/>
  <c r="A185" i="8"/>
  <c r="Q184" i="8"/>
  <c r="A184" i="8"/>
  <c r="Q183" i="8"/>
  <c r="A183" i="8"/>
  <c r="Q182" i="8"/>
  <c r="A182" i="8"/>
  <c r="Q181" i="8"/>
  <c r="A181" i="8"/>
  <c r="Q180" i="8"/>
  <c r="A180" i="8"/>
  <c r="Q179" i="8"/>
  <c r="A179" i="8"/>
  <c r="Q178" i="8"/>
  <c r="A178" i="8"/>
  <c r="Q177" i="8"/>
  <c r="A177" i="8"/>
  <c r="Q176" i="8"/>
  <c r="A176" i="8"/>
  <c r="Q175" i="8"/>
  <c r="A175" i="8"/>
  <c r="Q174" i="8"/>
  <c r="A174" i="8"/>
  <c r="Q173" i="8"/>
  <c r="A173" i="8"/>
  <c r="Q172" i="8"/>
  <c r="A172" i="8"/>
  <c r="Q171" i="8"/>
  <c r="A171" i="8"/>
  <c r="Q170" i="8"/>
  <c r="A170" i="8"/>
  <c r="Q169" i="8"/>
  <c r="A169" i="8"/>
  <c r="Q168" i="8"/>
  <c r="A168" i="8"/>
  <c r="Q163" i="8"/>
  <c r="A163" i="8"/>
  <c r="Q159" i="8"/>
  <c r="A159" i="8"/>
  <c r="Q158" i="8"/>
  <c r="A158" i="8"/>
  <c r="Q157" i="8"/>
  <c r="A157" i="8"/>
  <c r="Q156" i="8"/>
  <c r="A156" i="8"/>
  <c r="Q155" i="8"/>
  <c r="A155" i="8"/>
  <c r="Q154" i="8"/>
  <c r="A154" i="8"/>
  <c r="Q153" i="8"/>
  <c r="A153" i="8"/>
  <c r="Q152" i="8"/>
  <c r="A152" i="8"/>
  <c r="Q151" i="8"/>
  <c r="A151" i="8"/>
  <c r="Q150" i="8"/>
  <c r="A150" i="8"/>
  <c r="Q149" i="8"/>
  <c r="A149" i="8"/>
  <c r="Q148" i="8"/>
  <c r="A148" i="8"/>
  <c r="Q147" i="8"/>
  <c r="A147" i="8"/>
  <c r="Q146" i="8"/>
  <c r="A146" i="8"/>
  <c r="Q145" i="8"/>
  <c r="A145" i="8"/>
  <c r="Q144" i="8"/>
  <c r="A144" i="8"/>
  <c r="Q143" i="8"/>
  <c r="A143" i="8"/>
  <c r="Q142" i="8"/>
  <c r="A142" i="8"/>
  <c r="Q141" i="8"/>
  <c r="A141" i="8"/>
  <c r="Q140" i="8"/>
  <c r="A140" i="8"/>
  <c r="Q139" i="8"/>
  <c r="A139" i="8"/>
  <c r="Q138" i="8"/>
  <c r="A138" i="8"/>
  <c r="Q137" i="8"/>
  <c r="A137" i="8"/>
  <c r="Q136" i="8"/>
  <c r="Q135" i="8"/>
  <c r="Q134" i="8"/>
  <c r="Q133" i="8"/>
  <c r="Q132" i="8"/>
  <c r="Q131" i="8"/>
  <c r="Q130" i="8"/>
  <c r="Q129" i="8"/>
  <c r="Q128" i="8"/>
  <c r="Q127" i="8"/>
  <c r="Q126" i="8"/>
  <c r="A126" i="8"/>
  <c r="Q125" i="8"/>
  <c r="A125" i="8"/>
  <c r="Q124" i="8"/>
  <c r="A124" i="8"/>
  <c r="Q116" i="8"/>
  <c r="A116" i="8"/>
  <c r="Q114" i="8"/>
  <c r="A114" i="8"/>
  <c r="Q113" i="8"/>
  <c r="A113" i="8"/>
  <c r="Q112" i="8"/>
  <c r="A112" i="8"/>
  <c r="Q107" i="8"/>
  <c r="A107" i="8"/>
  <c r="Q106" i="8"/>
  <c r="A106" i="8"/>
  <c r="Q105" i="8"/>
  <c r="A105" i="8"/>
  <c r="Q100" i="8"/>
  <c r="A100" i="8"/>
  <c r="Q99" i="8"/>
  <c r="A99" i="8"/>
  <c r="Q98" i="8"/>
  <c r="A98" i="8"/>
  <c r="Q97" i="8"/>
  <c r="A97" i="8"/>
  <c r="Q96" i="8"/>
  <c r="A96" i="8"/>
  <c r="Q95" i="8"/>
  <c r="A95" i="8"/>
  <c r="Q94" i="8"/>
  <c r="A94" i="8"/>
  <c r="Q93" i="8"/>
  <c r="A93" i="8"/>
  <c r="Q92" i="8"/>
  <c r="A92" i="8"/>
  <c r="Q91" i="8"/>
  <c r="A91" i="8"/>
  <c r="Q90" i="8"/>
  <c r="A90" i="8"/>
  <c r="Q89" i="8"/>
  <c r="A89" i="8"/>
  <c r="Q88" i="8"/>
  <c r="A88" i="8"/>
  <c r="Q87" i="8"/>
  <c r="A87" i="8"/>
  <c r="Q86" i="8"/>
  <c r="A86" i="8"/>
  <c r="A85" i="8"/>
  <c r="Q84" i="8"/>
  <c r="A84" i="8"/>
  <c r="Q83" i="8"/>
  <c r="A83" i="8"/>
  <c r="Q82" i="8"/>
  <c r="A82" i="8"/>
  <c r="Q81" i="8"/>
  <c r="A81" i="8"/>
  <c r="Q80" i="8"/>
  <c r="A80" i="8"/>
  <c r="Q79" i="8"/>
  <c r="A79" i="8"/>
  <c r="Q78" i="8"/>
  <c r="A78" i="8"/>
  <c r="Q77" i="8"/>
  <c r="A77" i="8"/>
  <c r="Q76" i="8"/>
  <c r="A76" i="8"/>
  <c r="Q72" i="8"/>
  <c r="A72" i="8"/>
  <c r="Q70" i="8"/>
  <c r="A70" i="8"/>
  <c r="Q69" i="8"/>
  <c r="A69" i="8"/>
  <c r="Q68" i="8"/>
  <c r="A68" i="8"/>
  <c r="Q67" i="8"/>
  <c r="A67" i="8"/>
  <c r="Q66" i="8"/>
  <c r="A66" i="8"/>
  <c r="Q65" i="8"/>
  <c r="A65" i="8"/>
  <c r="Q64" i="8"/>
  <c r="A64" i="8"/>
  <c r="Q63" i="8"/>
  <c r="A63" i="8"/>
  <c r="Q62" i="8"/>
  <c r="A62" i="8"/>
  <c r="Q61" i="8"/>
  <c r="A61" i="8"/>
  <c r="Q60" i="8"/>
  <c r="A60" i="8"/>
  <c r="Q58" i="8"/>
  <c r="A58" i="8"/>
  <c r="Q55" i="8"/>
  <c r="A55" i="8"/>
  <c r="Q54" i="8"/>
  <c r="A54" i="8"/>
  <c r="Q53" i="8"/>
  <c r="A53" i="8"/>
  <c r="Q52" i="8"/>
  <c r="A52" i="8"/>
  <c r="Q51" i="8"/>
  <c r="A51" i="8"/>
  <c r="Q50" i="8"/>
  <c r="A50" i="8"/>
  <c r="Q49" i="8"/>
  <c r="A49" i="8"/>
  <c r="Q48" i="8"/>
  <c r="A48" i="8"/>
  <c r="Q47" i="8"/>
  <c r="A47" i="8"/>
  <c r="Q46" i="8"/>
  <c r="A46" i="8"/>
  <c r="Q45" i="8"/>
  <c r="A45" i="8"/>
  <c r="Q44" i="8"/>
  <c r="A44" i="8"/>
  <c r="Q41" i="8"/>
  <c r="A41" i="8"/>
  <c r="Q40" i="8"/>
  <c r="A40" i="8"/>
  <c r="Q39" i="8"/>
  <c r="A39" i="8"/>
  <c r="Q38" i="8"/>
  <c r="A38" i="8"/>
  <c r="Q37" i="8"/>
  <c r="A37" i="8"/>
  <c r="Q34" i="8"/>
  <c r="A34" i="8"/>
  <c r="Q33" i="8"/>
  <c r="A33" i="8"/>
  <c r="Q32" i="8"/>
  <c r="A32" i="8"/>
  <c r="Q30" i="8"/>
  <c r="A30" i="8"/>
  <c r="A29" i="8"/>
  <c r="Q28" i="8"/>
  <c r="A28" i="8"/>
  <c r="A26" i="8"/>
  <c r="Q25" i="8"/>
  <c r="A25" i="8"/>
  <c r="Q24" i="8"/>
  <c r="A24" i="8"/>
  <c r="Q23" i="8"/>
  <c r="A23" i="8"/>
  <c r="Q22" i="8"/>
  <c r="A22" i="8"/>
  <c r="Q21" i="8"/>
  <c r="A21" i="8"/>
  <c r="Q20" i="8"/>
  <c r="A20" i="8"/>
  <c r="Q19" i="8"/>
  <c r="A19" i="8"/>
  <c r="Q18" i="8"/>
  <c r="D4" i="8" s="1"/>
  <c r="A18" i="8"/>
  <c r="Q17" i="8"/>
  <c r="A17" i="8"/>
  <c r="Q16" i="8"/>
  <c r="A16" i="8"/>
  <c r="Q15" i="8"/>
  <c r="A15" i="8"/>
  <c r="A14" i="8"/>
  <c r="Q13" i="8"/>
  <c r="A13" i="8"/>
  <c r="D8" i="8"/>
  <c r="Q125" i="2"/>
  <c r="A125" i="2"/>
  <c r="Q124" i="2"/>
  <c r="A124" i="2"/>
  <c r="Q123" i="2"/>
  <c r="A123" i="2"/>
  <c r="Q122" i="2"/>
  <c r="A122" i="2"/>
  <c r="Q121" i="2"/>
  <c r="A121" i="2"/>
  <c r="Q120" i="2"/>
  <c r="A120" i="2"/>
  <c r="Q119" i="2"/>
  <c r="A119" i="2"/>
  <c r="Q118" i="2"/>
  <c r="A118" i="2"/>
  <c r="Q117" i="2"/>
  <c r="A117" i="2"/>
  <c r="Q116" i="2"/>
  <c r="A116" i="2"/>
  <c r="Q115" i="2"/>
  <c r="A115" i="2"/>
  <c r="Q114" i="2"/>
  <c r="A114" i="2"/>
  <c r="Q113" i="2"/>
  <c r="A113" i="2"/>
  <c r="Q112" i="2"/>
  <c r="A112" i="2"/>
  <c r="Q111" i="2"/>
  <c r="A111" i="2"/>
  <c r="Q110" i="2"/>
  <c r="A110" i="2"/>
  <c r="Q109" i="2"/>
  <c r="A109" i="2"/>
  <c r="Q108" i="2"/>
  <c r="A108" i="2"/>
  <c r="Q107" i="2"/>
  <c r="A107" i="2"/>
  <c r="Q106" i="2"/>
  <c r="A106" i="2"/>
  <c r="Q105" i="2"/>
  <c r="A105" i="2"/>
  <c r="Q104" i="2"/>
  <c r="A104" i="2"/>
  <c r="Q103" i="2"/>
  <c r="A103" i="2"/>
  <c r="Q102" i="2"/>
  <c r="A102" i="2"/>
  <c r="Q101" i="2"/>
  <c r="A101" i="2"/>
  <c r="Q100" i="2"/>
  <c r="A100" i="2"/>
  <c r="Q99" i="2"/>
  <c r="A99" i="2"/>
  <c r="Q98" i="2"/>
  <c r="A98" i="2"/>
  <c r="Q97" i="2"/>
  <c r="A97" i="2"/>
  <c r="Q96" i="2"/>
  <c r="A96" i="2"/>
  <c r="Q95" i="2"/>
  <c r="A95" i="2"/>
  <c r="Q94" i="2"/>
  <c r="A94" i="2"/>
  <c r="Q93" i="2"/>
  <c r="A93" i="2"/>
  <c r="Q92" i="2"/>
  <c r="A92" i="2"/>
  <c r="Q91" i="2"/>
  <c r="A91" i="2"/>
  <c r="Q90" i="2"/>
  <c r="A90" i="2"/>
  <c r="Q89" i="2"/>
  <c r="A89" i="2"/>
  <c r="Q88" i="2"/>
  <c r="A88" i="2"/>
  <c r="Q87" i="2"/>
  <c r="A87" i="2"/>
  <c r="Q86" i="2"/>
  <c r="A86" i="2"/>
  <c r="Q85" i="2"/>
  <c r="A85" i="2"/>
  <c r="Q84" i="2"/>
  <c r="A84" i="2"/>
  <c r="Q83" i="2"/>
  <c r="A83" i="2"/>
  <c r="Q82" i="2"/>
  <c r="A82" i="2"/>
  <c r="Q81" i="2"/>
  <c r="A81" i="2"/>
  <c r="Q80" i="2"/>
  <c r="A80" i="2"/>
  <c r="Q79" i="2"/>
  <c r="A79" i="2"/>
  <c r="Q78" i="2"/>
  <c r="A78" i="2"/>
  <c r="Q77" i="2"/>
  <c r="A77" i="2"/>
  <c r="Q76" i="2"/>
  <c r="A76" i="2"/>
  <c r="Q75" i="2"/>
  <c r="A75" i="2"/>
  <c r="Q74" i="2"/>
  <c r="A74" i="2"/>
  <c r="Q73" i="2"/>
  <c r="A73" i="2"/>
  <c r="Q72" i="2"/>
  <c r="A72" i="2"/>
  <c r="Q71" i="2"/>
  <c r="A71" i="2"/>
  <c r="Q70" i="2"/>
  <c r="A70" i="2"/>
  <c r="Q69" i="2"/>
  <c r="A69" i="2"/>
  <c r="Q68" i="2"/>
  <c r="A68" i="2"/>
  <c r="Q67" i="2"/>
  <c r="A67" i="2"/>
  <c r="Q66" i="2"/>
  <c r="A66" i="2"/>
  <c r="Q65" i="2"/>
  <c r="A65" i="2"/>
  <c r="Q64" i="2"/>
  <c r="A64" i="2"/>
  <c r="Q63" i="2"/>
  <c r="A63" i="2"/>
  <c r="Q62" i="2"/>
  <c r="A62" i="2"/>
  <c r="Q61" i="2"/>
  <c r="A61" i="2"/>
  <c r="Q60" i="2"/>
  <c r="A60" i="2"/>
  <c r="Q59" i="2"/>
  <c r="A59" i="2"/>
  <c r="Q58" i="2"/>
  <c r="A58" i="2"/>
  <c r="Q57" i="2"/>
  <c r="A57" i="2"/>
  <c r="Q56" i="2"/>
  <c r="A56" i="2"/>
  <c r="Q55" i="2"/>
  <c r="A55" i="2"/>
  <c r="Q54" i="2"/>
  <c r="A54" i="2"/>
  <c r="Q53" i="2"/>
  <c r="A53" i="2"/>
  <c r="Q52" i="2"/>
  <c r="A52" i="2"/>
  <c r="Q51" i="2"/>
  <c r="A51" i="2"/>
  <c r="Q50" i="2"/>
  <c r="A50" i="2"/>
  <c r="Q49" i="2"/>
  <c r="A49" i="2"/>
  <c r="Q48" i="2"/>
  <c r="A48" i="2"/>
  <c r="Q47" i="2"/>
  <c r="A47" i="2"/>
  <c r="Q46" i="2"/>
  <c r="A46" i="2"/>
  <c r="Q45" i="2"/>
  <c r="A45" i="2"/>
  <c r="Q44" i="2"/>
  <c r="A44" i="2"/>
  <c r="Q43" i="2"/>
  <c r="A43" i="2"/>
  <c r="Q42" i="2"/>
  <c r="A42" i="2"/>
  <c r="Q41" i="2"/>
  <c r="A41" i="2"/>
  <c r="A40" i="2"/>
  <c r="A39" i="2"/>
  <c r="Q38" i="2"/>
  <c r="A38" i="2"/>
  <c r="Q37" i="2"/>
  <c r="A37" i="2"/>
  <c r="Q36" i="2"/>
  <c r="A36" i="2"/>
  <c r="Q35" i="2"/>
  <c r="A35" i="2"/>
  <c r="Q34" i="2"/>
  <c r="A34" i="2"/>
  <c r="Q33" i="2"/>
  <c r="A33" i="2"/>
  <c r="A32" i="2"/>
  <c r="Q31" i="2"/>
  <c r="A31" i="2"/>
  <c r="A30" i="2"/>
  <c r="Q29" i="2"/>
  <c r="A29" i="2"/>
  <c r="A28" i="2"/>
  <c r="A27" i="2"/>
  <c r="A26" i="2"/>
  <c r="Q25" i="2"/>
  <c r="A25" i="2"/>
  <c r="Q24" i="2"/>
  <c r="A24" i="2"/>
  <c r="Q23" i="2"/>
  <c r="A23" i="2"/>
  <c r="Q22" i="2"/>
  <c r="A22" i="2"/>
  <c r="Q21" i="2"/>
  <c r="A21" i="2"/>
  <c r="Q20" i="2"/>
  <c r="A20" i="2"/>
  <c r="Q19" i="2"/>
  <c r="A19" i="2"/>
  <c r="Q18" i="2"/>
  <c r="A18" i="2"/>
  <c r="Q17" i="2"/>
  <c r="A17" i="2"/>
  <c r="Q16" i="2"/>
  <c r="A16" i="2"/>
  <c r="Q15" i="2"/>
  <c r="A15" i="2"/>
  <c r="Q14" i="2"/>
  <c r="A14" i="2"/>
  <c r="Q13" i="2"/>
  <c r="A13" i="2"/>
  <c r="D8" i="2"/>
  <c r="D6" i="2"/>
  <c r="D5" i="2"/>
  <c r="D4" i="2"/>
  <c r="D5" i="8" l="1"/>
  <c r="D6" i="8"/>
  <c r="D7" i="2"/>
  <c r="D7" i="8" l="1"/>
</calcChain>
</file>

<file path=xl/sharedStrings.xml><?xml version="1.0" encoding="utf-8"?>
<sst xmlns="http://schemas.openxmlformats.org/spreadsheetml/2006/main" count="862" uniqueCount="454">
  <si>
    <t>KỊCH BẢN KIỂM THỬ *</t>
  </si>
  <si>
    <t>Tên màn hình/Tên chức năng</t>
  </si>
  <si>
    <t>Đăng ký</t>
  </si>
  <si>
    <t>Mã trường hợp kiểm thử</t>
  </si>
  <si>
    <t>ConvertRate</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</si>
  <si>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</si>
  <si>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</si>
  <si>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</si>
  <si>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</si>
  <si>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</si>
  <si>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</si>
  <si>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</si>
  <si>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</si>
  <si>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&lt;Tên trình duyệt 1&gt;</t>
  </si>
  <si>
    <t>&lt;Tên trình duyệt 2&gt;</t>
  </si>
  <si>
    <t>&lt;Tên trình duyệt 3&gt;</t>
  </si>
  <si>
    <t>&lt;Tên trình duyệt 4&gt;</t>
  </si>
  <si>
    <t>Kết quả hiện tại</t>
  </si>
  <si>
    <t>Mã lỗi</t>
  </si>
  <si>
    <t>Ghi chú</t>
  </si>
  <si>
    <t>Lần 1</t>
  </si>
  <si>
    <t>Lần 2</t>
  </si>
  <si>
    <t>Lần 3</t>
  </si>
  <si>
    <t>Chức năng: Convert Rate</t>
  </si>
  <si>
    <t>Giao diện</t>
  </si>
  <si>
    <t>Kiểm tra tổng quan màn hình</t>
  </si>
  <si>
    <t>Kiểm tra tổng thể giao diện màn hình</t>
  </si>
  <si>
    <t>1. Kiểm tra về bố cục, font chữ, chính tả, màu chữ
2. Kiểm tra các label sử dụng cùng 1 loại font, cỡ chữ, căn lề trái
3. Kiểm tra trường bắt buộc phải có dấu * 
4. Kiểm tra tất cả lỗi về chính tả, cấu trúc câu, ngữ pháp trên màn hình 
5. Kiểm tra Form được bố trí hợp lý và dễ sử dụng, màu sắc giao diện hài hòa.</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</si>
  <si>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</si>
  <si>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thứ tự di chuyển trỏ trên màn hình khi nhấn phím Tab</t>
  </si>
  <si>
    <t>Nhấn Tab liên tục</t>
  </si>
  <si>
    <t>Con trỏ di chuyển lần lượt theo thứ tự: Từ trái qua phải, từ trên xuống dưới</t>
  </si>
  <si>
    <t>Kiểm tra thứ tự con trỏ di chuyển ngược lại trên màn hình khi nhấn Shift-Tab</t>
  </si>
  <si>
    <t>Nhấn phím Shift-Tab liên tục</t>
  </si>
  <si>
    <t>Con trỏ di chuyển ngược lại theo thứ tự: từ dưới lên trên, từ phải qua trái</t>
  </si>
  <si>
    <t>Kiểm tra giao diện khi thu nhỏ, phóng to</t>
  </si>
  <si>
    <t>1.Nhấn phím Ctrl -
 2. Nhấn phim Ctrl +</t>
  </si>
  <si>
    <t>Màn hình thu nhỏ, phóng to tương ứng và không bị vỡ giao diện</t>
  </si>
  <si>
    <t>Kiểm tra các link liên kết- Hyperlink</t>
  </si>
  <si>
    <t>1. Kiểm tra khi hover chuột vào link Đăng nhập
2. Kiểm tra khi kích vào link Đăng nhập</t>
  </si>
  <si>
    <t>1. Link được gạch chân và đổi màu
2. Mở màn hình Đăng nhập</t>
  </si>
  <si>
    <t>Trường Amount to convert</t>
  </si>
  <si>
    <t>Kiểm tra trạng thái mặc định</t>
  </si>
  <si>
    <t>1. Vào link 
2. Kiểm tra trạng thái mặc định</t>
  </si>
  <si>
    <t>Trạng thái mặc định Enable</t>
  </si>
  <si>
    <t>Kiểm tra giá trị mặc định</t>
  </si>
  <si>
    <t>1. Vào link
2. Kiểm tra giá trị mặc định của trường</t>
  </si>
  <si>
    <t>Hiển thị giá trị mặc định bằng 1</t>
  </si>
  <si>
    <t>Kiểm tra giá trị nhập vào</t>
  </si>
  <si>
    <t>Nhập ký tự chữ: Chữ hoa, chữ thường, ký tự đặc biệt</t>
  </si>
  <si>
    <t>Không cho phép nhập/Báo lỗi</t>
  </si>
  <si>
    <t>Nhập số</t>
  </si>
  <si>
    <t>Cho phép nhập</t>
  </si>
  <si>
    <t>Nhập số thập phân</t>
  </si>
  <si>
    <t>Nhập số âm</t>
  </si>
  <si>
    <t>Kiểm tra maxlength</t>
  </si>
  <si>
    <t>Nhập lớn hơn maxlength</t>
  </si>
  <si>
    <t>Kiểm tra việc copy/paste dữ liệu</t>
  </si>
  <si>
    <t xml:space="preserve">Cho phép </t>
  </si>
  <si>
    <t>Kiểm tra droplist From</t>
  </si>
  <si>
    <t>Hiển thị theo tài liệu</t>
  </si>
  <si>
    <t>Kiểm tra giá trị trong droplist</t>
  </si>
  <si>
    <t>1. Vào link
2. Click vào droplist From
3. Kiểm tra giá trị trong droplist</t>
  </si>
  <si>
    <t>Hiển thị theo list: VND, USD, EUR</t>
  </si>
  <si>
    <t>Kiểm tra chọn giá trị</t>
  </si>
  <si>
    <t>Chọn 1 giá trị trong list</t>
  </si>
  <si>
    <t>Hiển thị chính xác giá trị đã chọn lên giao diện</t>
  </si>
  <si>
    <t>Chọn lại một giá trị khác trong list</t>
  </si>
  <si>
    <t>Kiểm tra droplist To</t>
  </si>
  <si>
    <t>Kiểm tra trường Invert Currency</t>
  </si>
  <si>
    <t>Kiểm tra giao diện</t>
  </si>
  <si>
    <t xml:space="preserve">1. Vào link 
2. Kiểm tra giao diện </t>
  </si>
  <si>
    <t>Hiển thị đúng như thiết kế</t>
  </si>
  <si>
    <t>Kiểm tra trường Convesion Result</t>
  </si>
  <si>
    <t>Chức năng</t>
  </si>
  <si>
    <t>Chuyển đổi không thành công</t>
  </si>
  <si>
    <t>Chuyển đổi không thành công khi nhập giá trị không hợp lệ vào trường Amount to convert</t>
  </si>
  <si>
    <t>1. Vào link
2. Nhập giá trị không hợp lệ vào trường Amount to convert</t>
  </si>
  <si>
    <t>Hệ thống chuyển đổi không thành công</t>
  </si>
  <si>
    <t>Lỗi API không lấy được tỷ giá từ website Vietcombank</t>
  </si>
  <si>
    <t>1. Vào link
2. Nhập giá trị hợp lệ vào trường Amount to convert
3. API tỷ giá từ VCB bị lỗi</t>
  </si>
  <si>
    <t>Lỗi mạng</t>
  </si>
  <si>
    <t>1. Vào link
2. Nhập giá trị hợp lệ vào trường Amount to convert
3. Lỗi mạng</t>
  </si>
  <si>
    <t>Thành công</t>
  </si>
  <si>
    <t>Chuyển đổi thành công với các giá trị mặc định</t>
  </si>
  <si>
    <t>1. Amount = Giá trị mặc định
2. From = Mặc định
3. To = Mặc định</t>
  </si>
  <si>
    <t>Hiển thị chính xác giá trị chuyển đổi tiền tệ theo tỷ giá realtime từ VCB</t>
  </si>
  <si>
    <t xml:space="preserve">Chuyển đổi thành công với giá trị = 0 </t>
  </si>
  <si>
    <t>1. Vào link
2. Nhập giá trị = 0 vào trường Amount</t>
  </si>
  <si>
    <t>Hiển thị chính xác giá trị chuyển đổi = 0</t>
  </si>
  <si>
    <t>Chuyển đổi thành công với giá trị amount = max</t>
  </si>
  <si>
    <t>1. Vào link
2. Nhập giá trị = max vào trường Amount</t>
  </si>
  <si>
    <t>Chuyển đổi thành công với giá trị amount từ 1 - max</t>
  </si>
  <si>
    <t>1. Vào link
2. Nhập giá trị từ 1 - max vào trường Amount</t>
  </si>
  <si>
    <t>Chuyển đổi thành công theo loại tiền tệ</t>
  </si>
  <si>
    <t>VND - VND</t>
  </si>
  <si>
    <t>VND - EUR</t>
  </si>
  <si>
    <t>VND - USD</t>
  </si>
  <si>
    <t>USD - USD</t>
  </si>
  <si>
    <t>USD - VND</t>
  </si>
  <si>
    <t>USD - EUR</t>
  </si>
  <si>
    <t>EUR - EUR</t>
  </si>
  <si>
    <t>EUR - USD</t>
  </si>
  <si>
    <t>EUR - VND</t>
  </si>
  <si>
    <t>Kiểm tra hiển thị kết quả ở Convesion Result</t>
  </si>
  <si>
    <t>Kiểm tra kết quả chuyển đổi là số nguyên</t>
  </si>
  <si>
    <t>Hiển thị kết quả là số nguyên</t>
  </si>
  <si>
    <t>Kiểm tra hiển thị kết quả là số thập phân có 4 chữ số sau dấu phẩy</t>
  </si>
  <si>
    <t>Hiển thị kết quả là số thập phân có 4 chữ số sau dấu phẩy</t>
  </si>
  <si>
    <t>Kiểm tra hiển thị kết quả là số thập phân có 5 chữ số sau dấu phẩy</t>
  </si>
  <si>
    <t>Hiển thị kết quả là số thập phân có 5 chữ số sau dấu phẩy</t>
  </si>
  <si>
    <t>Kiểm tra hiển thị kết quả là số thập phân có 6 chữ số sau dấu phẩy</t>
  </si>
  <si>
    <t>Số thứ 6 có giá trị &lt;5</t>
  </si>
  <si>
    <t>Bỏ số thứ 6, giữ nguyên 5 số sau dấu phẩy</t>
  </si>
  <si>
    <t>Số thứ 6 có giá trị = 5</t>
  </si>
  <si>
    <t>Bỏ số thứ 6, hiện thị giá trị đã làm tròn lên</t>
  </si>
  <si>
    <t>Số thứ 6 có giá trị &gt;5</t>
  </si>
  <si>
    <t>Kiểm tra chuyển đổi thành công khi sử dụng button Invert Currency</t>
  </si>
  <si>
    <t>1. Vào link
2. Điền các giá trị hợp lệ
3. Nhấn button Invert Currency</t>
  </si>
  <si>
    <t>Chuyển đổi thành công</t>
  </si>
  <si>
    <t>Chuyển đổi thành công với giá trị mặc định</t>
  </si>
  <si>
    <t>Chuyển đổi thành công với giá trị là 0</t>
  </si>
  <si>
    <t>Chuyển đổi thành công khi nhập giá trị từ 1 - max</t>
  </si>
  <si>
    <t>VND - VND, VND - USD, VND - EUR</t>
  </si>
  <si>
    <t>USD - VND, USD - EUR, USD - USD</t>
  </si>
  <si>
    <t>EUR - VND, EUR - EUR, EUR - USD</t>
  </si>
  <si>
    <t xml:space="preserve">Kiểm tra hiển thị kết quả là số nguyên </t>
  </si>
  <si>
    <t>Số thứ 6 là số 5</t>
  </si>
  <si>
    <t>Làm tròn lên</t>
  </si>
  <si>
    <t>Bỏ số thứ 6, làm tròn lên</t>
  </si>
  <si>
    <t>Bỏ số thứ 6, giữ nguyên giá trị</t>
  </si>
  <si>
    <t>Kiểm tra việc chuyển đổi giá trị bằng button Invert Currency</t>
  </si>
  <si>
    <t>Nhập giá trị không hợp lệ vào trường Amount to convert</t>
  </si>
  <si>
    <t>Lỗi API không lấy được tỷ giá từ website của Vietcombank</t>
  </si>
  <si>
    <t>Đăng ký thành công</t>
  </si>
  <si>
    <t>Nhập tất cả các trường hợp lệ</t>
  </si>
  <si>
    <t>Nhập tất cả các trường hợp lệ có Space đầu cuối</t>
  </si>
  <si>
    <t>Nhập hợp lệ tất cả các trường bắt buộc</t>
  </si>
  <si>
    <t>Đăng ký không thành công</t>
  </si>
  <si>
    <t>Bỏ trống tất cả các trường =&gt; Nhấn button đăng ký</t>
  </si>
  <si>
    <t>Bỏ trống tất cả các trường bắt buộc =&gt; nhấn button đăng ký</t>
  </si>
  <si>
    <t>Bỏ trống trường năm học
Các trường khác nhập hợp lệ
Nhấn button đăng ký</t>
  </si>
  <si>
    <t>Bỏ trống trường lớp học
Các trường khác nhập hợp lệ
Nhấn button Đăng ký</t>
  </si>
  <si>
    <r>
      <t xml:space="preserve">Bỏ trống/ nhập space/ Nhập không hợp lệ </t>
    </r>
    <r>
      <rPr>
        <sz val="15"/>
        <color rgb="FFFF0000"/>
        <rFont val="Aptos Narrow"/>
        <family val="2"/>
        <scheme val="minor"/>
      </rPr>
      <t>trường Tài khoản</t>
    </r>
    <r>
      <rPr>
        <sz val="15"/>
        <color theme="1"/>
        <rFont val="Aptos Narrow"/>
        <family val="2"/>
        <scheme val="minor"/>
      </rPr>
      <t xml:space="preserve">
Các trường khác nhập hợp lệ
Nhấn button đăng ký</t>
    </r>
  </si>
  <si>
    <r>
      <t xml:space="preserve">Bỏ trống/ nhập space/ Nhập không hợp lệ </t>
    </r>
    <r>
      <rPr>
        <sz val="15"/>
        <color rgb="FFFF0000"/>
        <rFont val="Aptos Narrow"/>
        <family val="2"/>
        <scheme val="minor"/>
      </rPr>
      <t>trường Pass</t>
    </r>
    <r>
      <rPr>
        <sz val="15"/>
        <color theme="1"/>
        <rFont val="Aptos Narrow"/>
        <family val="2"/>
        <scheme val="minor"/>
      </rPr>
      <t xml:space="preserve">
Các trường khác nhập hợp lệ
Nhấn button đăng ký</t>
    </r>
  </si>
  <si>
    <r>
      <t xml:space="preserve">Bỏ trống/ nhập space/ Nhập không hợp lệ </t>
    </r>
    <r>
      <rPr>
        <sz val="15"/>
        <color rgb="FFFF0000"/>
        <rFont val="Aptos Narrow"/>
        <family val="2"/>
        <scheme val="minor"/>
      </rPr>
      <t>trường xác nhận mật khẩu</t>
    </r>
    <r>
      <rPr>
        <sz val="15"/>
        <color theme="1"/>
        <rFont val="Aptos Narrow"/>
        <family val="2"/>
        <scheme val="minor"/>
      </rPr>
      <t xml:space="preserve">
Các trường khác nhập hợp lệ
Nhấn button đăng ký</t>
    </r>
  </si>
  <si>
    <r>
      <t xml:space="preserve">Bỏ trống/ nhập space/ Nhập không hợp lệ </t>
    </r>
    <r>
      <rPr>
        <sz val="15"/>
        <color rgb="FFFF0000"/>
        <rFont val="Aptos Narrow"/>
        <family val="2"/>
        <scheme val="minor"/>
      </rPr>
      <t>trường email</t>
    </r>
    <r>
      <rPr>
        <sz val="15"/>
        <color theme="1"/>
        <rFont val="Aptos Narrow"/>
        <family val="2"/>
        <scheme val="minor"/>
      </rPr>
      <t xml:space="preserve">
Các trường khác nhập hợp lệ
Nhấn button đăng ký</t>
    </r>
  </si>
  <si>
    <t>- Email đã đăng ký trước đó
- Email sai định dạng</t>
  </si>
  <si>
    <r>
      <t xml:space="preserve">Bỏ trống/ nhập space/ Nhập không hợp lệ </t>
    </r>
    <r>
      <rPr>
        <sz val="15"/>
        <color rgb="FFFF0000"/>
        <rFont val="Aptos Narrow"/>
        <family val="2"/>
        <scheme val="minor"/>
      </rPr>
      <t>trường SĐT</t>
    </r>
    <r>
      <rPr>
        <sz val="15"/>
        <color theme="1"/>
        <rFont val="Aptos Narrow"/>
        <family val="2"/>
        <scheme val="minor"/>
      </rPr>
      <t xml:space="preserve">
Các trường khác nhập hợp lệ
Nhấn button đăng ký</t>
    </r>
  </si>
  <si>
    <t>- SĐT đã đăng ký trước đó
- SĐT sai định dạng</t>
  </si>
  <si>
    <r>
      <t xml:space="preserve">Bỏ trống </t>
    </r>
    <r>
      <rPr>
        <sz val="15"/>
        <color rgb="FFFF0000"/>
        <rFont val="Aptos Narrow"/>
        <family val="2"/>
        <scheme val="minor"/>
      </rPr>
      <t>trường Giới tính</t>
    </r>
    <r>
      <rPr>
        <sz val="15"/>
        <color theme="1"/>
        <rFont val="Aptos Narrow"/>
        <family val="2"/>
        <scheme val="minor"/>
      </rPr>
      <t xml:space="preserve">
Các trường khác nhập hợp lệ
Nhấn button đăng ký</t>
    </r>
  </si>
  <si>
    <t>Tải CV không đúng định dạng/ quá dung lượng
Các trường khác nhập hợp lệ
Nhấn button Đăng ký</t>
  </si>
  <si>
    <t>Lỗi hệ thống/ lỗi mạng</t>
  </si>
  <si>
    <t>Chỉ chấp nhận các file dạng PDF, DOC, DOCX, kích thước &lt; 15Mb</t>
  </si>
  <si>
    <t>x</t>
  </si>
  <si>
    <t>Tải CV</t>
  </si>
  <si>
    <t>Cho phép nhập tất cả các loại kí tự</t>
  </si>
  <si>
    <t>Facebook</t>
  </si>
  <si>
    <t>Công việc hiện tại</t>
  </si>
  <si>
    <t>Học trường</t>
  </si>
  <si>
    <t>Ngày sinh</t>
  </si>
  <si>
    <t>Nam/Nữ</t>
  </si>
  <si>
    <t>Giới tính</t>
  </si>
  <si>
    <t>chỉ được nhập số và khoảng trắng</t>
  </si>
  <si>
    <t>Điện thoại</t>
  </si>
  <si>
    <t>Nhập định dang email ví dụ abc_123@duoimail.com, độ dài tối đa email là 20 ký tự</t>
  </si>
  <si>
    <t>Email</t>
  </si>
  <si>
    <t>- Không nhập
- Nhập khác trường mật khẩu</t>
  </si>
  <si>
    <t>- Trùng với trường mật khẩu
- Trùng trường mật khẩu có space đầu cuối</t>
  </si>
  <si>
    <t>Nhập giống trường Mật khẩu</t>
  </si>
  <si>
    <t>Xác nhận mật khẩu</t>
  </si>
  <si>
    <t>- Không nhập
- Nhập chỉ là space
- Nhập kí tự hợp lệ, độ dài &lt; 6 kí tự
- Nhập kí tự hợp lệ, độ dài &gt; 12 kí tự
- Thiếu chữ cái hoa, độ dài hợp lệ
- Thiếu chữ số, độ dài hợp lệ
- Thiếu kí tự đặc biệt, độ dài hợp lệ
- Space ở giữa
- Nhập tiếng việt có dấu</t>
  </si>
  <si>
    <t>- Nhập kí tự hợp lệ, độ dài 6 kí tự
- Nhập kí tự hợp lệ, độ dài 12 kí tự
- Nhập kí tự hợp lệ, độ dài 9 kí tự
- Nhập chữ cái hoa, chữ số, kí tự đặc biệt, độ dài 9 kí tự, space đầu cuối</t>
  </si>
  <si>
    <t>Mật khẩu phải bao gồm chữ cái, chữ số, kí tự đặc biệt, ít nhất 1 chữ hoa, độ dài từ 6-12 kí tự và không chứa khoảng trắng và TV có dấu</t>
  </si>
  <si>
    <t>Mật khẩu</t>
  </si>
  <si>
    <t>- Không nhập
- Nhập chỉ là space
- Nhập &gt; 25 kí tự
- Nhập &lt; 3 kí tự
- Nhập tiếng việt có dấu
- Nhập tk có space ở giữa</t>
  </si>
  <si>
    <t>- Chỉ nhập chữ cái, độ dài 3 kí tự
- Chỉ nhập chữ số, độ dài 25 kí tự
- Chỉ nhập kí tự đặc biệt, độ dài kí tự 14
- Nhập tất cả các loại kí tự, độ dài 12
- Nhập hợp lệ, space đầu cuối</t>
  </si>
  <si>
    <t>Tài khoản dùng để đăng nhập. Tài khoản có thể chứa chữ cái, chữ số, kí tự đặc biệt. Không chứa tiếng việt có dấu và khoảng trắng, độ dài từ 3-25 kí tự.</t>
  </si>
  <si>
    <t>Tài khoản</t>
  </si>
  <si>
    <t>Năm học</t>
  </si>
  <si>
    <t>Chỉ chọn được khi đã chọn Năm học trước đó</t>
  </si>
  <si>
    <t>Lớp học</t>
  </si>
  <si>
    <t>Không hợp lệ</t>
  </si>
  <si>
    <t>Hợp lệ</t>
  </si>
  <si>
    <t>Mô tả</t>
  </si>
  <si>
    <t>Bắt buộc</t>
  </si>
  <si>
    <t>Tên trường</t>
  </si>
  <si>
    <t>Mã Trường</t>
  </si>
  <si>
    <t>Kết quả test</t>
  </si>
  <si>
    <t>Login_1</t>
  </si>
  <si>
    <t>Kiểm tra màn hình ở trạng thái mặc định</t>
  </si>
  <si>
    <t>1. Vào link : https://laptrinhhn.com/Account/Login?ReturnUrl=%2f</t>
  </si>
  <si>
    <t>Hiện thị màn hình form đăng nhập như trong tài liệu thiết kế</t>
  </si>
  <si>
    <t>Login_2</t>
  </si>
  <si>
    <t>Kiểm tra tổng thế giao diện màn hình</t>
  </si>
  <si>
    <t xml:space="preserve">1. Kiểm tra về bố cục, font chữ, chính tả, màu sắc
2. Kiểm tra hiện thị dấu * với các trường bắt buộc
3. Kiểm tra hiện thị các giá trị mặc định
4. Các trạng thái của Control
</t>
  </si>
  <si>
    <t>1. Các Label, textbox, combo có độ dài, rộng và khoảng cách bằng nhau, không xô lệch
- Các label sử dụng cùng 1 loại font chữ, cỡ chữ, căn lề trái
- Kiểm tra tất cả các text về lỗi chính tả, cấu trúc câu, ngữ pháp trên màn hình
- From được bố trí hợp lý, dễ sử dụng
2. Các trường bắt buộc phải có dấu *
3. Hiện thị giá trị mặc định:
- Trường UserName: Hiện thị giá trị mặc định trống, có place holder " Tên đăng nhập or Email"
- TRường Password: Hiện thị giá trị mặc định trống , có place holder " Mật khẩu"
4. Con trỏ chuột được focus vào trường Username</t>
  </si>
  <si>
    <t>Login_3</t>
  </si>
  <si>
    <t>Kiểm tra phóng to, thu nhỏ màn hình</t>
  </si>
  <si>
    <t>Không bị vỡ phông chữ, lỗi bố cục màn hình
Hiện thị thanh cuộn ngang hoặc cuộn dọc khi form bị tràn màn hình</t>
  </si>
  <si>
    <t>Login_4</t>
  </si>
  <si>
    <t>Kiểm tra khi nhấn phím Tab và Shift tab</t>
  </si>
  <si>
    <t>Kiểm tra trường username</t>
  </si>
  <si>
    <t>Login_6</t>
  </si>
  <si>
    <t>kiểm tra trạng thái mặc định của trường username</t>
  </si>
  <si>
    <t>1. Vào link : https://laptrinhhn.com/Account/Login?ReturnUrl=%2f
2. Kiểm tra trạng thái mặc định của trường username</t>
  </si>
  <si>
    <t>Trạng thái mặc định là Enable</t>
  </si>
  <si>
    <t>Login_7</t>
  </si>
  <si>
    <t>1. Vào link : https://laptrinhhn.com/Account/Login?ReturnUrl=%2f
2. Kiểm tra nhập chữ cái tiếng việt không phân biệt hoa thường</t>
  </si>
  <si>
    <t>Login_8</t>
  </si>
  <si>
    <t>1. Vào link : https://laptrinhhn.com/Account/Login?ReturnUrl=%2f
2. Kiểm tra ký tự số</t>
  </si>
  <si>
    <t>Login_9</t>
  </si>
  <si>
    <t>1. Vào link : https://laptrinhhn.com/Account/Login?ReturnUrl=%2f
2. Kiểm tra ký tự đặc biệt</t>
  </si>
  <si>
    <t>Không cho phép nhập</t>
  </si>
  <si>
    <t>Login_10</t>
  </si>
  <si>
    <t>1. Vào link : https://laptrinhhn.com/Account/Login?ReturnUrl=%2f
Kiểm tra nhập câu lệnh SQL server,…</t>
  </si>
  <si>
    <t>Login_11</t>
  </si>
  <si>
    <t>1. Vào link : https://laptrinhhn.com/Account/Login?ReturnUrl=%2f
2. Kiểm tra nhập quá 24 ký tự</t>
  </si>
  <si>
    <t>Hệ thống không báo lỗi</t>
  </si>
  <si>
    <t>Login_12</t>
  </si>
  <si>
    <t>1. Vào link : https://laptrinhhn.com/Account/Login?ReturnUrl=%2f
2. Kiểm tra nhập quá 25 ký tự</t>
  </si>
  <si>
    <t>Login_13</t>
  </si>
  <si>
    <t>1. Vào link : https://laptrinhhn.com/Account/Login?ReturnUrl=%2f
2. Kiểm tra nhập quá 26 ký tự</t>
  </si>
  <si>
    <t>Hệ thống báo quá số ký tự cho phép</t>
  </si>
  <si>
    <t>Kiểm tra trường Password</t>
  </si>
  <si>
    <t>Login_14</t>
  </si>
  <si>
    <t>kiểm tra trạng thái mặc định của trường password</t>
  </si>
  <si>
    <t>Login_15</t>
  </si>
  <si>
    <t>Login_16</t>
  </si>
  <si>
    <t>Login_17</t>
  </si>
  <si>
    <t>Login_18</t>
  </si>
  <si>
    <t>1. Vào link : https://laptrinhhn.com/Account/Login?ReturnUrl=%2f
2. Kiểm tra nhập câu lệnh SQL server,…</t>
  </si>
  <si>
    <t>Kiểm tra mã hóa</t>
  </si>
  <si>
    <t>1. Vào link : https://laptrinhhn.com/Account/Login?ReturnUrl=%2f
2. Kiểm tra nhập chuỗi ký tự</t>
  </si>
  <si>
    <t>Hệ thống mã hóa chuỗi ký tự trên giao diện</t>
  </si>
  <si>
    <t>Kiểm tra checkbox ghi nhớ đăng nhập</t>
  </si>
  <si>
    <t>Login_21</t>
  </si>
  <si>
    <t>1. Vào link : https://laptrinhhn.com/Account/Login?ReturnUrl=%2f
2. Kiểm tra trạng thái mặc định của checkbox</t>
  </si>
  <si>
    <t>Trạng thái mặc định là Uncheck</t>
  </si>
  <si>
    <t>Login_22</t>
  </si>
  <si>
    <t>Kiểm tra khi tích vào checkbox</t>
  </si>
  <si>
    <t>1. Vào link : https://laptrinhhn.com/Account/Login?ReturnUrl=%2f
2. Điền username và password
3. Tích checkbox
4. Nhấn button đăng nhập, đăng nhập thành công
5. Vào link, check hiển thị username và password</t>
  </si>
  <si>
    <t>- Username và password được lưu sẵn
- Checkbox được tích</t>
  </si>
  <si>
    <t>Kiểm tra button đăng nhập</t>
  </si>
  <si>
    <t>Login_23</t>
  </si>
  <si>
    <t>1. Vào link : https://laptrinhhn.com/Account/Login?ReturnUrl=%2f
2. Kiểm tra trạng thái mặc định của button</t>
  </si>
  <si>
    <t>Login_24</t>
  </si>
  <si>
    <t>Kiểm tra căn lề, chính tả, màu sắc</t>
  </si>
  <si>
    <t xml:space="preserve">1. Vào link : https://laptrinhhn.com/Account/Login?ReturnUrl=%2f
2. Kiểm tra </t>
  </si>
  <si>
    <t>Hiển thị như tài liệu thiết kế (Màu sắc chữ ntn, căn lề như nào,….)</t>
  </si>
  <si>
    <t>Kiểm tra hyperlink</t>
  </si>
  <si>
    <t>Kiểm tra khi nhấn vào hyperlink Quên mật khẩu</t>
  </si>
  <si>
    <t>1. Vào link : https://laptrinhhn.com/Account/Login?ReturnUrl=%2f
2. Click vào chữ Quên mật khẩu</t>
  </si>
  <si>
    <t>Điều hướng đúng đến chức năng Quên mật khẩu</t>
  </si>
  <si>
    <t>Kiểm tra khi nhấn vào hyperlink Đăng ký tại đây</t>
  </si>
  <si>
    <t>1. Vào link : https://laptrinhhn.com/Account/Login?ReturnUrl=%2f
2. Click vào chữ Đăng ký tại đây</t>
  </si>
  <si>
    <t>Điều hướng đúng đến chức năng Đăng ký</t>
  </si>
  <si>
    <t>Kiểm tra chức năng</t>
  </si>
  <si>
    <t>Kiểm tra đăng nhập thành công</t>
  </si>
  <si>
    <t>Kiểm tra đăng nhập thành công với Username đúng + Password đúng</t>
  </si>
  <si>
    <t>1. Vào link : https://laptrinhhn.com/Account/Login?ReturnUrl=%2f
2. Nhập username + password hợp lệ
3. Nhấn Button đăng nhập</t>
  </si>
  <si>
    <t>Đăng nhâph thành công
Điều hướng đến màn hình giao diện đăng nhập thành công đúng như tài liệu</t>
  </si>
  <si>
    <t>Kiểm tra đăng nhập thành công với Username đúng + Password đúng + space đầu cuối</t>
  </si>
  <si>
    <t>1. Vào link : https://laptrinhhn.com/Account/Login?ReturnUrl=%2f
2. Nhập username + password hợp lệ + space đầu cuối
3. Nhấn Button đăng nhập</t>
  </si>
  <si>
    <t>Kiểm tra đăng nhập thành công với Username đúng + Password đúng sau 2 lần đăng nhập thất bại</t>
  </si>
  <si>
    <t xml:space="preserve">1. Vào link : https://laptrinhhn.com/Account/Login?ReturnUrl=%2f
2. Đăng nhập thất bại 2 lần liên tiếp
3. Nhập username + password hợp lệ
4. Nhấn Button đăng nhập </t>
  </si>
  <si>
    <t>Kiểm tra đăng nhập không thành công</t>
  </si>
  <si>
    <t>Kiểm tra đăng nhập không thành công khi bỏ trống Username sai + Password đúng</t>
  </si>
  <si>
    <t>1. Vào link : https://laptrinhhn.com/Account/Login?ReturnUrl=%2f
2. Không nhập Username
3. Nhập Password đúng
4. Nhấn Button đăng nhập</t>
  </si>
  <si>
    <t>Hiển thị thông báo lỗi "Đăng nhập không thành công"</t>
  </si>
  <si>
    <t>Login_25</t>
  </si>
  <si>
    <t>1. Vào link : https://laptrinhhn.com/Account/Login?ReturnUrl=%2f
2. Nhập Username sai
3. Nhập Password đúng
4. Nhấn Button đăng nhập</t>
  </si>
  <si>
    <t>Login_26</t>
  </si>
  <si>
    <t>1. Vào link : https://laptrinhhn.com/Account/Login?ReturnUrl=%2f
2. Nhập Username không tồn tại trong hệ thống
3. Nhập Password đúng
4. Nhấn Button đăng nhập</t>
  </si>
  <si>
    <t>Login_27</t>
  </si>
  <si>
    <t>1. Vào link : https://laptrinhhn.com/Account/Login?ReturnUrl=%2f
2. Nhập khoảng trắng
3. Nhập Password đúng
4. Nhấn Button đăng nhập</t>
  </si>
  <si>
    <t>Login_28</t>
  </si>
  <si>
    <t>Kiểm tra đăng nhập không thành công khi bỏ trống Username đúng + Password sai</t>
  </si>
  <si>
    <t>1. Vào link : https://laptrinhhn.com/Account/Login?ReturnUrl=%2f
2. Nhập Username đúng
3. Không nhập Password
4. Nhấn Button đăng nhập</t>
  </si>
  <si>
    <t>Login_29</t>
  </si>
  <si>
    <t>1. Vào link : https://laptrinhhn.com/Account/Login?ReturnUrl=%2f
2. Nhập Username đúng
3. Nhập Password sai
4. Nhấn Button đăng nhập</t>
  </si>
  <si>
    <t>Login_30</t>
  </si>
  <si>
    <t>1. Vào link : https://laptrinhhn.com/Account/Login?ReturnUrl=%2f
2. Nhập Username đúng
3. Nhập Password không tồn tại trong hệ thống
4. Nhấn Button đăng nhập</t>
  </si>
  <si>
    <t>Login_31</t>
  </si>
  <si>
    <t>1. Vào link : https://laptrinhhn.com/Account/Login?ReturnUrl=%2f
2. Nhập Username đúng
3. Nhập khoảng trắng
4. Nhấn Button đăng nhập</t>
  </si>
  <si>
    <t>Login_32</t>
  </si>
  <si>
    <t>Kiểm tra đăng nhập không thành công khi bỏ trống Username sai + Password sai</t>
  </si>
  <si>
    <t>1. Vào link
2. Không nhập Username + Password
3. Nhấn Button</t>
  </si>
  <si>
    <t>Login_33</t>
  </si>
  <si>
    <t>1. Vào link
2.Nhập khoảng trắng
3. Nhấn Button</t>
  </si>
  <si>
    <t>1. Vào link
2.Nhập Username sai + Password sai
3. Nhấn Button</t>
  </si>
  <si>
    <t>1. Vào link
2. Kiểm tra ký tự số</t>
  </si>
  <si>
    <t>1. Vào link
2. Kiểm tra ký tự đặc biệt</t>
  </si>
  <si>
    <t>1. Vào link
2. Kiểm tra nhập chữ cái tiếng việt có dấu</t>
  </si>
  <si>
    <t>Kiểm tra trường Xác nhận mật khẩu</t>
  </si>
  <si>
    <t>1. Vào link
2. Kiểm tra trạng thái mặc định</t>
  </si>
  <si>
    <t>Kiểm tra trường Email</t>
  </si>
  <si>
    <t>Kiểm tra trường Giới tính</t>
  </si>
  <si>
    <t>Kiểm tra trường Điện thoại</t>
  </si>
  <si>
    <t xml:space="preserve">1. Vào link
2. Kiểm tra </t>
  </si>
  <si>
    <t>Register</t>
  </si>
  <si>
    <t>Chức năng: Đăng ký</t>
  </si>
  <si>
    <t>1. Truy cập trang laptrinhhn.com -&gt; click link Đăng ký tại đây
2. Kiểm tra giao diện Đăng ký</t>
  </si>
  <si>
    <t>Validate trường Lớp học - Chọn năm học</t>
  </si>
  <si>
    <t>1. Vào link
2. Kiểm tra giá trị mặc định của trường Năm học</t>
  </si>
  <si>
    <t>Giá trị mặc định trống</t>
  </si>
  <si>
    <t>Kiểm tra giá trị trong Droplist</t>
  </si>
  <si>
    <t>1. Vào link
2. Kiểm tra các giá trị trong droplist</t>
  </si>
  <si>
    <t>Hiển thị đầy đủ giá trị trong tài liệu mô tả (Hiển thị đầy đủ giá trị trong trang quản trị https://laptrinhhn.com/admin)</t>
  </si>
  <si>
    <t>Kiểm tra khi chọn một giá trị</t>
  </si>
  <si>
    <t>1. Vào link 
2. Chọn một giá trị trong droplist</t>
  </si>
  <si>
    <t>Kiểm tra khi chọn lại một giá trị khác</t>
  </si>
  <si>
    <t>1. Vào link
2. Chọn một giá trị khác với giá trị đã chọn trước đó</t>
  </si>
  <si>
    <t>Kiểm tra khi danh sách quá dài</t>
  </si>
  <si>
    <t>1. Vào link
2. Click vào trường Chọn năm học</t>
  </si>
  <si>
    <t>Hiển thị thanh scroball dọc/ngang</t>
  </si>
  <si>
    <t>Kiểm tra sắp xếp các giá trị</t>
  </si>
  <si>
    <t>Hiển thị sắp xếp đúng theo tài liệu</t>
  </si>
  <si>
    <t>Validate trường Lớp học - Chọn lớp học</t>
  </si>
  <si>
    <t>1. Vào link
2. Kiểm tra các giá trị mặc định trường Lớp học</t>
  </si>
  <si>
    <t>Trường năm học có lớp học tương ứng</t>
  </si>
  <si>
    <t>Hiển thị các giá trị tương ứng với năm học đã chọn (Dữ liệu trong trang quản trị)</t>
  </si>
  <si>
    <t>Trường năm học không có lớp học</t>
  </si>
  <si>
    <t>Không có giá trị trong trường Lớp học</t>
  </si>
  <si>
    <t>1. Vào link
2. Click vào trường Chọn lớp học</t>
  </si>
  <si>
    <t>1. Vào link
2. Chọn droplist Lớp học</t>
  </si>
  <si>
    <t>Không cho chọn giá trị
Chỉ cho phép chọn khi trường Năm học có giá trị</t>
  </si>
  <si>
    <t>Validate trường Tài khoản</t>
  </si>
  <si>
    <t>1. Vào link
2. Kiểm tra giá trị mặc định</t>
  </si>
  <si>
    <t>1. Vào link
2. Kiểm tra nhập chữ cái không phân biệt hoa thường</t>
  </si>
  <si>
    <t>1. Vào link 
2. Kiểm tra nhập khoảng trắng</t>
  </si>
  <si>
    <t>Nhập &lt;3 ký tự</t>
  </si>
  <si>
    <t>Báo lỗi</t>
  </si>
  <si>
    <t>Nhập =3 ký tự</t>
  </si>
  <si>
    <t>Không báo lỗi</t>
  </si>
  <si>
    <t>Nhập &gt;3 ký tự và &lt;25 ký tự</t>
  </si>
  <si>
    <t>Nhập 25 ký tự</t>
  </si>
  <si>
    <t>Nhập &gt;25 ký tự</t>
  </si>
  <si>
    <t>Báo lỗi (Chặn không cho phép nhập ký tự thứ 26)</t>
  </si>
  <si>
    <t>Validate trường Mật khẩu</t>
  </si>
  <si>
    <t>1. Vào link
2. Kiểm tra nhập khoảng trắng</t>
  </si>
  <si>
    <t>1. Vào link
2. Kiểm tra nhập tiếng việt có dấu</t>
  </si>
  <si>
    <t>1. Vào link
2. Nhập một chuỗi ký tự bất kỳ</t>
  </si>
  <si>
    <t>Hiển thị mã hóa</t>
  </si>
  <si>
    <t>Nhập &lt;6 ký tự</t>
  </si>
  <si>
    <t>Nhập 6 ký tự</t>
  </si>
  <si>
    <t>Nhập &gt;6 ký tự và &lt;12 ký tự</t>
  </si>
  <si>
    <t>Nhập 12 ký tự</t>
  </si>
  <si>
    <t>Nhập &gt;12 ký tự</t>
  </si>
  <si>
    <t>Báo lỗi (Chặn không cho phép nhập ký tự thứ 13)</t>
  </si>
  <si>
    <t>Validate trường Xác nhận mật khẩu</t>
  </si>
  <si>
    <t>Nhập giá trị khác trường mật khẩu</t>
  </si>
  <si>
    <t>Nhập một chuỗi giá trị bất kỳ khác chuỗi mật khẩu đã nhập</t>
  </si>
  <si>
    <t>Hệ thống báo lỗi</t>
  </si>
  <si>
    <t>Nhập giá trị giống trường mật khẩu</t>
  </si>
  <si>
    <t>Nhập lại chuỗi mật khẩu đã nhập</t>
  </si>
  <si>
    <t>Validate trường Email</t>
  </si>
  <si>
    <t>Nhập &lt;20 ký tự</t>
  </si>
  <si>
    <t>Có ký tự đặc biệt trong tên, không có @, không có dấu chấm trước tên miền, thiếu tên miền</t>
  </si>
  <si>
    <t>Nhập 20 ký tự</t>
  </si>
  <si>
    <t>Nhập &gt;20 ký tự</t>
  </si>
  <si>
    <t>Nhập email không đúng định dạng</t>
  </si>
  <si>
    <t>Có ký tự đặc biệt trong tên</t>
  </si>
  <si>
    <t>Không có @</t>
  </si>
  <si>
    <t>Không có dấu chấm trước tên miền</t>
  </si>
  <si>
    <t>Thiếu tên miền</t>
  </si>
  <si>
    <t>Validate trường Họ tên</t>
  </si>
  <si>
    <t>Validate trường Giới tính</t>
  </si>
  <si>
    <t>1. Vào link
2. Kiểm tra giá trị mặc định của trường Giới tính</t>
  </si>
  <si>
    <t xml:space="preserve">Hiển thị đầy đủ giá trị trong tài liệu mô tả </t>
  </si>
  <si>
    <t>1. Vào link
2. Click vào trường Giới tính</t>
  </si>
  <si>
    <t>Validate trường Ngày sinh</t>
  </si>
  <si>
    <t>Kiểm tra lấy thông tin từ hộp lịch</t>
  </si>
  <si>
    <t>Kiểm tra giá trị mặc định của trường ngày tháng</t>
  </si>
  <si>
    <t>Hiển thị trống</t>
  </si>
  <si>
    <t xml:space="preserve">Kiểm tra ngày đang được focus trong hộp lịch </t>
  </si>
  <si>
    <t>Ngày hiện tại</t>
  </si>
  <si>
    <t xml:space="preserve">Kiểm tra khi chọn 1 ngày trong hộp lịch </t>
  </si>
  <si>
    <t>Hiển thị chính xác ngày đã chọn lên giao diện</t>
  </si>
  <si>
    <t>Kiểm tra hiển thị ngày tháng trong hộp lịch</t>
  </si>
  <si>
    <t>Hiển thị theo đúng logic nghiệp vụ được mô tả</t>
  </si>
  <si>
    <t>Kiểm tra nhập thông tin ngày sinh</t>
  </si>
  <si>
    <t>Kiểm tra định dạng ngày tháng khi nhập</t>
  </si>
  <si>
    <t>Hệ thống báo lỗi khi nhập sai</t>
  </si>
  <si>
    <t>Kiểm tra nhập đúng định dạng nhưng sai ngày</t>
  </si>
  <si>
    <t>Kiểm tra nhập đúng định dạng + ngày hợp lệ</t>
  </si>
  <si>
    <t>Validate trường Điện thoại</t>
  </si>
  <si>
    <t>Giá trị trống</t>
  </si>
  <si>
    <t>Kiểm tra nhập giá trị</t>
  </si>
  <si>
    <t>Kiểm tra nhập giá trị bao gồm cả chữ và số</t>
  </si>
  <si>
    <t>Hệ thống chặn không cho phép nhập ký tự chữ/Báo lỗi</t>
  </si>
  <si>
    <t xml:space="preserve">Kiểm tra nhập số thập phân </t>
  </si>
  <si>
    <t>Kiểm tra nhập toàn số 0</t>
  </si>
  <si>
    <t>Kiểm tra nhập số âm</t>
  </si>
  <si>
    <t>Kiểm tra nhập đúng định dạng số điện thoại</t>
  </si>
  <si>
    <t>Validate trường Học trường</t>
  </si>
  <si>
    <t>Validate trường Công việc hiện tại</t>
  </si>
  <si>
    <t>Validate trường Facebook</t>
  </si>
  <si>
    <t>Validate button Tải CV</t>
  </si>
  <si>
    <t>Kiểm tra đúng định dạng file + đúng dung lượng</t>
  </si>
  <si>
    <t xml:space="preserve">1. Vào link
2. Chọn tải cv
3. Tải lên một file đúng định dạng và dung lượng </t>
  </si>
  <si>
    <t>Kiểm tra sai định dạng file</t>
  </si>
  <si>
    <t>Kiểm tra upload file định dạng PDF, DOC, DOCX</t>
  </si>
  <si>
    <t>Kiểm tra upload file KHÁC định dạng PDF, DOC, DOCX</t>
  </si>
  <si>
    <t>Kiểm tra vượt quá dung lượng</t>
  </si>
  <si>
    <t>Upload file đúng định dạng + &lt;15MB</t>
  </si>
  <si>
    <t>Upload file đúng định dạng + =15MB</t>
  </si>
  <si>
    <t>Uploaid file đúng định dạng + &gt;15MB</t>
  </si>
  <si>
    <t xml:space="preserve">Kiểm tra khi xem lại file đã upload </t>
  </si>
  <si>
    <t>1. Vào link
2. Tải lên một file đúng định dạng và dung lượng
3. Bấm vào file đã tải lên thành công</t>
  </si>
  <si>
    <t xml:space="preserve">File hiển thị đúng nội dung như khi mở trên máy local </t>
  </si>
  <si>
    <t>Kiểm tra xóa file vừa tải lên</t>
  </si>
  <si>
    <t>1. Vào link
2. Tải lên một file đúng định dạng và dung lượng
3. Xóa file đã tải lên</t>
  </si>
  <si>
    <t>Giao diện không hiển thị file đã xóa
Không thể mở file đã xóa trên trang</t>
  </si>
  <si>
    <t xml:space="preserve">Kiểm tra hiển thị đúng tên file </t>
  </si>
  <si>
    <t>1. Vào link
2. Tải lên một file đúng định dạng và dung lượng
3. Kiểm tra tên file đã tải lên</t>
  </si>
  <si>
    <t>Hiển thị đúng tên file đã tải lên</t>
  </si>
  <si>
    <t>Kiểm tra upload nhiều file cùng lúc</t>
  </si>
  <si>
    <t>Validate button Đăng ký tài khoản</t>
  </si>
  <si>
    <t>1. Vào link
2. Kiểm tra trạng thái mặc định của button</t>
  </si>
  <si>
    <t>Không thành công</t>
  </si>
  <si>
    <t>Kiểm tra đăng ký khôgn thành công khi bỏ trống tất cả các trường</t>
  </si>
  <si>
    <t>1. Vào link
2. Bỏ trống tất cả các trường 
3. Nhấn button Đăng ký tài khoản</t>
  </si>
  <si>
    <t>Hiển thị thông báo đăng ký không thành công</t>
  </si>
  <si>
    <t>Kiểm tra đăng ký không thành công khi bỏ trống tất cả các trường bắt buộc</t>
  </si>
  <si>
    <t>1. Vào link
2. Bỏ trống tất cả các trường bắt buộc
3. Nhấn button Đăng ký tài khoản</t>
  </si>
  <si>
    <t>Bỏ trống trường năm học</t>
  </si>
  <si>
    <t>1. Vào link
2. Bỏ trống trường năm học
3. Nhập tất cả các trường khác hợp lệ
4. Nhấn button Đăng ký</t>
  </si>
  <si>
    <t>Bỏ trống trường lớp học</t>
  </si>
  <si>
    <t>1. Vào link
2. Bỏ trống trường lớp học
3. Nhập tất cả các trường khác hợp lệ
4. Nhấn button Đăng ký</t>
  </si>
  <si>
    <t>Kiểm tra bỏ trống trường Tài khoản</t>
  </si>
  <si>
    <t>1. Vào link
2. Bỏ trống trường tài khoản
3. Nhập tất cả các trường khác hợp lệ
4. Nhấn button Đăng ký</t>
  </si>
  <si>
    <t>1. Vào link
2. Nhập space trường Tài khoản
3. Nhập tất cả các trường khác hợp lệ
4. Nhấn button Đăng ký</t>
  </si>
  <si>
    <t>1. Vào link
2. Nhập dữ liệu không hợp lệ
3. Nhập tất cả các trường khác hợp lệ
4. Nhấn button Đăng ký</t>
  </si>
  <si>
    <t>Kiểm tra trường mật khẩu</t>
  </si>
  <si>
    <t>1. Vào link
2. Bỏ trống trường 
3. Nhập tất cả các trường khác hợp lệ
4. Nhấn button Đăng ký</t>
  </si>
  <si>
    <t>1. Vào link
2. Nhập space 
3. Nhập tất cả các trường khác hợp lệ
4. Nhấn button Đăng ký</t>
  </si>
  <si>
    <t>1. Vào link
2. Nhập một email đã từng đăng ký tài khoản
3. Nhập tất cả các trường khác hợp lệ
4. Nhấn button Đăng ký</t>
  </si>
  <si>
    <t>1. Vào link
2. Bỏ trống trường Giới tính
3. Nhập tất cả các trường khác hợp lệ
4. Nhấn button Đăng ký</t>
  </si>
  <si>
    <t>1. Vào link
2. Nhập một số điện thoại đã từng đăng ký tài khoản
3. Nhập tất cả các trường khác hợp lệ
4. Nhấn button Đăng ký</t>
  </si>
  <si>
    <t>Kiểm tra tải CV</t>
  </si>
  <si>
    <t>1. Vào link
2. Tải một file sai định dạng
3. Nhập tất cả các trường khác hợp lệ
4. Nhấn button Đăng ký</t>
  </si>
  <si>
    <t>1. Vào link
2. Tải một file quá dung lượng
3. Nhập tất cả các trường khác hợp lệ
4. Nhấn button Đăng ký</t>
  </si>
  <si>
    <t>Kiểm tra đăng ký thành công khi nhập hợp lệ tất cả các trường</t>
  </si>
  <si>
    <t>1. Vào link 
2. Nhập hợp lệ tất cả các trường
3. Nhấn button đăng ký tài khoản</t>
  </si>
  <si>
    <t>Đăng ký thành công
Dùng account vừa đăng ký đăng nhập thành công vào hệ thống</t>
  </si>
  <si>
    <t>Kiểm tra đăng ký thành công khi nhập hợp lệ tất cả các trường có space đầu cuối</t>
  </si>
  <si>
    <t>1. Vào link 
2. Nhập hợp lệ tất cả các trường có space đầu cuối
3. Nhấn button đăng ký tài khoản</t>
  </si>
  <si>
    <t>Kiểm tra đăng ký thành công khi nhập hợp lệ tất cả các trường bắt buộc</t>
  </si>
  <si>
    <t>1. Vào link 
2. Nhập hợp lệ tất cả các trường bắt buộc
3. Nhấn button đăng ký tài khoản</t>
  </si>
  <si>
    <t>1. Truy cập trang https://laptrinhhn.com/cc
2. Kiểm tra giao diện web</t>
  </si>
  <si>
    <t>Hiển thị màn hình web</t>
  </si>
  <si>
    <t>Chuột đi từ ô đầu tiên đến ô cuối cùng theo thứ tự và ngược lại</t>
  </si>
  <si>
    <t xml:space="preserve">Hiển thị màn hình Đăng ký: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</si>
</sst>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charset val="163"/>
      <scheme val="minor"/>
    </font>
    <font>
      <sz val="11"/>
      <color theme="1"/>
      <name val="Aptos Narrow"/>
      <family val="2"/>
      <scheme val="minor"/>
    </font>
    <font>
      <sz val="12"/>
      <name val="Times New Roman"/>
      <family val="1"/>
    </font>
    <font>
      <b/>
      <sz val="12"/>
      <name val="Times New Roman"/>
      <family val="1"/>
    </font>
    <font>
      <sz val="12"/>
      <color rgb="FFFF0000"/>
      <name val="Times New Roman"/>
      <family val="1"/>
    </font>
    <font>
      <sz val="12"/>
      <color theme="1"/>
      <name val="Aptos Narrow"/>
      <family val="1"/>
      <scheme val="minor"/>
    </font>
    <font>
      <b/>
      <sz val="12"/>
      <color rgb="FFFF0000"/>
      <name val="Times New Roman"/>
      <family val="1"/>
    </font>
    <font>
      <b/>
      <sz val="12"/>
      <color theme="1"/>
      <name val="Times New Roman"/>
      <family val="1"/>
    </font>
    <font>
      <sz val="10"/>
      <name val="Arial"/>
      <family val="2"/>
    </font>
    <font>
      <sz val="12"/>
      <color theme="1"/>
      <name val="Times New Roman"/>
      <family val="1"/>
    </font>
    <font>
      <sz val="15"/>
      <color theme="1"/>
      <name val="Times New Roman"/>
      <family val="2"/>
    </font>
    <font>
      <u/>
      <sz val="11"/>
      <color theme="10"/>
      <name val="Arial"/>
      <family val="2"/>
    </font>
    <font>
      <u/>
      <sz val="12"/>
      <color rgb="FFFF0000"/>
      <name val="Times New Roman"/>
      <family val="1"/>
    </font>
    <font>
      <sz val="15"/>
      <color theme="1"/>
      <name val="Aptos Narrow"/>
      <family val="2"/>
      <scheme val="minor"/>
    </font>
    <font>
      <sz val="15"/>
      <color rgb="FFFF0000"/>
      <name val="Aptos Narrow"/>
      <family val="2"/>
      <scheme val="minor"/>
    </font>
    <font>
      <sz val="11"/>
      <color theme="1"/>
      <name val="Times New Roman"/>
      <family val="1"/>
    </font>
    <font>
      <b/>
      <sz val="14"/>
      <color theme="1"/>
      <name val="Times New Roman"/>
      <family val="1"/>
    </font>
    <font>
      <sz val="11"/>
      <color rgb="FF006100"/>
      <name val="Aptos Narrow"/>
      <family val="2"/>
      <scheme val="minor"/>
    </font>
    <font>
      <sz val="11"/>
      <color rgb="FF9C5700"/>
      <name val="Aptos Narrow"/>
      <family val="2"/>
      <scheme val="minor"/>
    </font>
    <font>
      <b/>
      <sz val="11"/>
      <color rgb="FFFA7D00"/>
      <name val="Aptos Narrow"/>
      <family val="2"/>
      <scheme val="minor"/>
    </font>
    <font>
      <sz val="15"/>
      <color theme="1"/>
      <name val="Times New Roman"/>
      <family val="1"/>
    </font>
    <font>
      <b/>
      <sz val="15"/>
      <name val="Times New Roman"/>
      <family val="1"/>
    </font>
    <font>
      <sz val="15"/>
      <name val="Times New Roman"/>
      <family val="1"/>
    </font>
    <font>
      <sz val="15"/>
      <color rgb="FF9C5700"/>
      <name val="Times New Roman"/>
      <family val="1"/>
    </font>
  </fonts>
  <fills count="17">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indexed="9"/>
        <bgColor indexed="64"/>
      </patternFill>
    </fill>
    <fill>
      <patternFill patternType="solid">
        <fgColor indexed="42"/>
        <bgColor indexed="64"/>
      </patternFill>
    </fill>
    <fill>
      <patternFill patternType="solid">
        <fgColor indexed="40"/>
        <bgColor indexed="64"/>
      </patternFill>
    </fill>
    <fill>
      <patternFill patternType="solid">
        <fgColor rgb="FFFFFF00"/>
        <bgColor indexed="64"/>
      </patternFill>
    </fill>
    <fill>
      <patternFill patternType="solid">
        <fgColor indexed="13"/>
        <bgColor indexed="64"/>
      </patternFill>
    </fill>
    <fill>
      <patternFill patternType="solid">
        <fgColor rgb="FF00B050"/>
        <bgColor indexed="64"/>
      </patternFill>
    </fill>
    <fill>
      <patternFill patternType="solid">
        <fgColor rgb="FFFFFFFF"/>
        <bgColor rgb="FFFFFFFF"/>
      </patternFill>
    </fill>
    <fill>
      <patternFill patternType="solid">
        <fgColor rgb="FF92D050"/>
        <bgColor rgb="FFFFFFFF"/>
      </patternFill>
    </fill>
    <fill>
      <patternFill patternType="solid">
        <fgColor theme="0"/>
        <bgColor rgb="FFFFFFFF"/>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top/>
      <bottom style="thin">
        <color indexed="64"/>
      </bottom>
      <diagonal/>
    </border>
    <border>
      <left/>
      <right/>
      <top/>
      <bottom style="thin">
        <color indexed="64"/>
      </bottom>
      <diagonal/>
    </border>
    <border>
      <left/>
      <right style="thin">
        <color rgb="FF7F7F7F"/>
      </right>
      <top/>
      <bottom style="thin">
        <color indexed="64"/>
      </bottom>
      <diagonal/>
    </border>
  </borders>
  <cellStyleXfs count="8">
    <xf numFmtId="0" fontId="0" fillId="0" borderId="0"/>
    <xf numFmtId="0" fontId="1" fillId="0" borderId="0"/>
    <xf numFmtId="0" fontId="8" fillId="0" borderId="0"/>
    <xf numFmtId="0" fontId="8" fillId="0" borderId="0"/>
    <xf numFmtId="0" fontId="11" fillId="0" borderId="0" applyNumberFormat="0" applyFill="0" applyBorder="0" applyAlignment="0" applyProtection="0">
      <alignment vertical="top"/>
      <protection locked="0"/>
    </xf>
    <xf numFmtId="0" fontId="17" fillId="2" borderId="0" applyNumberFormat="0" applyBorder="0" applyAlignment="0" applyProtection="0"/>
    <xf numFmtId="0" fontId="18" fillId="3" borderId="0" applyNumberFormat="0" applyBorder="0" applyAlignment="0" applyProtection="0"/>
    <xf numFmtId="0" fontId="19" fillId="4" borderId="1" applyNumberFormat="0" applyAlignment="0" applyProtection="0"/>
  </cellStyleXfs>
  <cellXfs count="101">
    <xf numFmtId="0" fontId="0" fillId="0" borderId="0" xfId="0"/>
    <xf numFmtId="0" fontId="2" fillId="5" borderId="2" xfId="1" applyFont="1" applyFill="1" applyBorder="1" applyAlignment="1">
      <alignment vertical="center"/>
    </xf>
    <xf numFmtId="0" fontId="2" fillId="5" borderId="2" xfId="1" applyFont="1" applyFill="1" applyBorder="1" applyAlignment="1">
      <alignment vertical="center" wrapText="1"/>
    </xf>
    <xf numFmtId="0" fontId="3" fillId="5" borderId="2" xfId="1" applyFont="1" applyFill="1" applyBorder="1" applyAlignment="1">
      <alignment horizontal="center" vertical="center" wrapText="1"/>
    </xf>
    <xf numFmtId="0" fontId="2" fillId="5" borderId="2" xfId="1" applyFont="1" applyFill="1" applyBorder="1" applyAlignment="1">
      <alignment horizontal="center" vertical="center"/>
    </xf>
    <xf numFmtId="0" fontId="4" fillId="5" borderId="2" xfId="1" applyFont="1" applyFill="1" applyBorder="1" applyAlignment="1">
      <alignment vertical="center"/>
    </xf>
    <xf numFmtId="0" fontId="5" fillId="0" borderId="2" xfId="1" applyFont="1" applyBorder="1"/>
    <xf numFmtId="0" fontId="3" fillId="5" borderId="2" xfId="1" applyFont="1" applyFill="1" applyBorder="1" applyAlignment="1">
      <alignment vertical="center" wrapText="1"/>
    </xf>
    <xf numFmtId="0" fontId="2" fillId="6" borderId="2"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6" fillId="7" borderId="2"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2" fillId="6" borderId="2" xfId="1" applyFont="1" applyFill="1" applyBorder="1" applyAlignment="1">
      <alignment vertical="center"/>
    </xf>
    <xf numFmtId="0" fontId="7" fillId="8" borderId="2" xfId="1" applyFont="1" applyFill="1" applyBorder="1" applyAlignment="1">
      <alignment horizontal="left" vertical="center" wrapText="1"/>
    </xf>
    <xf numFmtId="0" fontId="3" fillId="9" borderId="2" xfId="1" applyFont="1" applyFill="1" applyBorder="1" applyAlignment="1">
      <alignment vertical="center"/>
    </xf>
    <xf numFmtId="0" fontId="6" fillId="9" borderId="2" xfId="1" applyFont="1" applyFill="1" applyBorder="1" applyAlignment="1">
      <alignment vertical="center"/>
    </xf>
    <xf numFmtId="0" fontId="3" fillId="8" borderId="2" xfId="1" applyFont="1" applyFill="1" applyBorder="1" applyAlignment="1">
      <alignment vertical="center" wrapText="1"/>
    </xf>
    <xf numFmtId="0" fontId="2" fillId="6" borderId="2" xfId="2" applyFont="1" applyFill="1" applyBorder="1" applyAlignment="1">
      <alignment horizontal="center" vertical="center" wrapText="1"/>
    </xf>
    <xf numFmtId="0" fontId="3" fillId="10" borderId="2" xfId="3" applyFont="1" applyFill="1" applyBorder="1" applyAlignment="1">
      <alignment horizontal="left" vertical="center" wrapText="1"/>
    </xf>
    <xf numFmtId="0" fontId="2" fillId="0" borderId="2" xfId="1" applyFont="1" applyBorder="1" applyAlignment="1">
      <alignment horizontal="center" vertical="center"/>
    </xf>
    <xf numFmtId="0" fontId="2" fillId="6" borderId="2" xfId="1" applyFont="1" applyFill="1" applyBorder="1" applyAlignment="1">
      <alignment horizontal="center" vertical="center"/>
    </xf>
    <xf numFmtId="0" fontId="2" fillId="0" borderId="2" xfId="2" applyFont="1" applyBorder="1" applyAlignment="1">
      <alignment vertical="center" wrapText="1"/>
    </xf>
    <xf numFmtId="0" fontId="2" fillId="0" borderId="2" xfId="2" applyFont="1" applyBorder="1" applyAlignment="1">
      <alignment vertical="top" wrapText="1"/>
    </xf>
    <xf numFmtId="0" fontId="2" fillId="11" borderId="2" xfId="2" applyFont="1" applyFill="1" applyBorder="1" applyAlignment="1">
      <alignment vertical="center" wrapText="1"/>
    </xf>
    <xf numFmtId="0" fontId="2" fillId="0" borderId="2" xfId="1" applyFont="1" applyBorder="1" applyAlignment="1">
      <alignment vertical="center" wrapText="1"/>
    </xf>
    <xf numFmtId="0" fontId="3" fillId="8" borderId="2" xfId="1" applyFont="1" applyFill="1" applyBorder="1" applyAlignment="1">
      <alignment horizontal="left" vertical="center" wrapText="1"/>
    </xf>
    <xf numFmtId="0" fontId="2" fillId="0" borderId="2" xfId="1" applyFont="1" applyBorder="1" applyAlignment="1">
      <alignment vertical="top" wrapText="1"/>
    </xf>
    <xf numFmtId="0" fontId="2" fillId="0" borderId="2" xfId="3" applyFont="1" applyBorder="1" applyAlignment="1">
      <alignment horizontal="left" vertical="center" wrapText="1"/>
    </xf>
    <xf numFmtId="0" fontId="2" fillId="0" borderId="3" xfId="1" applyFont="1" applyBorder="1" applyAlignment="1">
      <alignment vertical="center" wrapText="1"/>
    </xf>
    <xf numFmtId="0" fontId="2" fillId="0" borderId="4" xfId="1" applyFont="1" applyBorder="1" applyAlignment="1">
      <alignment vertical="center" wrapText="1"/>
    </xf>
    <xf numFmtId="0" fontId="2" fillId="0" borderId="5" xfId="1" applyFont="1" applyBorder="1" applyAlignment="1">
      <alignment vertical="center" wrapText="1"/>
    </xf>
    <xf numFmtId="0" fontId="9" fillId="0" borderId="2" xfId="1" applyFont="1" applyBorder="1" applyAlignment="1">
      <alignment horizontal="left" vertical="center" wrapText="1"/>
    </xf>
    <xf numFmtId="0" fontId="10" fillId="0" borderId="2" xfId="1" applyFont="1" applyBorder="1" applyAlignment="1">
      <alignment horizontal="left" vertical="center" wrapText="1"/>
    </xf>
    <xf numFmtId="0" fontId="3" fillId="12" borderId="2" xfId="1" applyFont="1" applyFill="1" applyBorder="1" applyAlignment="1">
      <alignment horizontal="left" vertical="center" wrapText="1"/>
    </xf>
    <xf numFmtId="0" fontId="2" fillId="13" borderId="2" xfId="1" applyFont="1" applyFill="1" applyBorder="1" applyAlignment="1">
      <alignment vertical="center" wrapText="1"/>
    </xf>
    <xf numFmtId="0" fontId="2" fillId="13" borderId="3" xfId="1" applyFont="1" applyFill="1" applyBorder="1" applyAlignment="1">
      <alignment vertical="center" wrapText="1"/>
    </xf>
    <xf numFmtId="0" fontId="2" fillId="13" borderId="4" xfId="1" applyFont="1" applyFill="1" applyBorder="1" applyAlignment="1">
      <alignment vertical="center" wrapText="1"/>
    </xf>
    <xf numFmtId="0" fontId="2" fillId="13" borderId="5" xfId="1" applyFont="1" applyFill="1" applyBorder="1" applyAlignment="1">
      <alignment vertical="center" wrapText="1"/>
    </xf>
    <xf numFmtId="0" fontId="2" fillId="13" borderId="3" xfId="1" applyFont="1" applyFill="1" applyBorder="1" applyAlignment="1">
      <alignment vertical="center" wrapText="1"/>
    </xf>
    <xf numFmtId="0" fontId="12" fillId="0" borderId="2" xfId="4" applyFont="1" applyBorder="1" applyAlignment="1" applyProtection="1"/>
    <xf numFmtId="0" fontId="2" fillId="0" borderId="3" xfId="2" applyFont="1" applyBorder="1" applyAlignment="1">
      <alignment vertical="center" wrapText="1"/>
    </xf>
    <xf numFmtId="0" fontId="2" fillId="5" borderId="2" xfId="1" quotePrefix="1" applyFont="1" applyFill="1" applyBorder="1" applyAlignment="1">
      <alignment vertical="center" wrapText="1"/>
    </xf>
    <xf numFmtId="0" fontId="2" fillId="0" borderId="4" xfId="2" applyFont="1" applyBorder="1" applyAlignment="1">
      <alignment vertical="center" wrapText="1"/>
    </xf>
    <xf numFmtId="0" fontId="2" fillId="0" borderId="5" xfId="2" applyFont="1" applyBorder="1" applyAlignment="1">
      <alignment vertical="center" wrapText="1"/>
    </xf>
    <xf numFmtId="0" fontId="1" fillId="0" borderId="0" xfId="1"/>
    <xf numFmtId="0" fontId="13" fillId="0" borderId="0" xfId="1" applyFont="1"/>
    <xf numFmtId="0" fontId="13" fillId="0" borderId="0" xfId="1" applyFont="1" applyAlignment="1">
      <alignment wrapText="1"/>
    </xf>
    <xf numFmtId="0" fontId="13" fillId="0" borderId="0" xfId="1" quotePrefix="1" applyFont="1" applyAlignment="1">
      <alignment wrapText="1"/>
    </xf>
    <xf numFmtId="0" fontId="1" fillId="0" borderId="2" xfId="1" applyBorder="1"/>
    <xf numFmtId="0" fontId="15" fillId="0" borderId="2" xfId="1" applyFont="1" applyBorder="1" applyAlignment="1">
      <alignment wrapText="1"/>
    </xf>
    <xf numFmtId="0" fontId="15" fillId="0" borderId="2" xfId="1" applyFont="1" applyBorder="1"/>
    <xf numFmtId="0" fontId="15" fillId="8" borderId="2" xfId="1" applyFont="1" applyFill="1" applyBorder="1"/>
    <xf numFmtId="0" fontId="1" fillId="0" borderId="2" xfId="1" quotePrefix="1" applyBorder="1" applyAlignment="1">
      <alignment wrapText="1"/>
    </xf>
    <xf numFmtId="0" fontId="15" fillId="0" borderId="2" xfId="1" applyFont="1" applyBorder="1" applyAlignment="1">
      <alignment vertical="center" wrapText="1"/>
    </xf>
    <xf numFmtId="0" fontId="16" fillId="0" borderId="2" xfId="1" applyFont="1" applyBorder="1"/>
    <xf numFmtId="0" fontId="2" fillId="0" borderId="2" xfId="1" quotePrefix="1" applyFont="1" applyBorder="1" applyAlignment="1">
      <alignment vertical="center" wrapText="1"/>
    </xf>
    <xf numFmtId="0" fontId="2" fillId="0" borderId="2" xfId="1" applyFont="1" applyBorder="1" applyAlignment="1">
      <alignment horizontal="left" vertical="center" wrapText="1"/>
    </xf>
    <xf numFmtId="0" fontId="9" fillId="0" borderId="2" xfId="1" applyFont="1" applyBorder="1" applyAlignment="1">
      <alignment horizontal="left" vertical="center" wrapText="1"/>
    </xf>
    <xf numFmtId="0" fontId="2" fillId="0" borderId="2" xfId="1" applyFont="1" applyBorder="1" applyAlignment="1">
      <alignment vertical="center" wrapText="1"/>
    </xf>
    <xf numFmtId="0" fontId="3" fillId="0" borderId="2" xfId="2" applyFont="1" applyBorder="1" applyAlignment="1">
      <alignment vertical="center" wrapText="1"/>
    </xf>
    <xf numFmtId="0" fontId="2" fillId="13" borderId="2" xfId="1" applyFont="1" applyFill="1" applyBorder="1" applyAlignment="1">
      <alignment vertical="center" wrapText="1"/>
    </xf>
    <xf numFmtId="0" fontId="2" fillId="11" borderId="2" xfId="1" applyFont="1" applyFill="1" applyBorder="1" applyAlignment="1">
      <alignment vertical="center" wrapText="1"/>
    </xf>
    <xf numFmtId="0" fontId="2" fillId="0" borderId="2" xfId="1" applyFont="1" applyBorder="1" applyAlignment="1">
      <alignment vertical="top" wrapText="1"/>
    </xf>
    <xf numFmtId="0" fontId="2" fillId="13" borderId="2" xfId="1" applyFont="1" applyFill="1" applyBorder="1" applyAlignment="1">
      <alignment horizontal="center" vertical="center" wrapText="1"/>
    </xf>
    <xf numFmtId="0" fontId="2" fillId="13" borderId="2" xfId="1" applyFont="1" applyFill="1" applyBorder="1" applyAlignment="1">
      <alignment horizontal="center" vertical="center" wrapText="1"/>
    </xf>
    <xf numFmtId="0" fontId="2" fillId="13" borderId="3" xfId="1" applyFont="1" applyFill="1" applyBorder="1" applyAlignment="1">
      <alignment horizontal="center" vertical="center" wrapText="1"/>
    </xf>
    <xf numFmtId="0" fontId="2" fillId="13" borderId="4" xfId="1" applyFont="1" applyFill="1" applyBorder="1" applyAlignment="1">
      <alignment horizontal="center" vertical="center" wrapText="1"/>
    </xf>
    <xf numFmtId="0" fontId="2" fillId="13" borderId="5" xfId="1" applyFont="1" applyFill="1" applyBorder="1" applyAlignment="1">
      <alignment horizontal="center" vertical="center" wrapText="1"/>
    </xf>
    <xf numFmtId="0" fontId="2" fillId="13" borderId="2" xfId="1" applyFont="1" applyFill="1" applyBorder="1" applyAlignment="1">
      <alignment horizontal="left" vertical="center" wrapText="1"/>
    </xf>
    <xf numFmtId="0" fontId="5" fillId="0" borderId="2" xfId="1" applyFont="1" applyBorder="1" applyAlignment="1">
      <alignment wrapText="1"/>
    </xf>
    <xf numFmtId="0" fontId="21" fillId="14" borderId="2" xfId="5" applyFont="1" applyFill="1" applyBorder="1" applyAlignment="1">
      <alignment horizontal="left" vertical="center" wrapText="1"/>
    </xf>
    <xf numFmtId="0" fontId="21" fillId="14" borderId="6" xfId="5" applyFont="1" applyFill="1" applyBorder="1" applyAlignment="1">
      <alignment horizontal="left" vertical="center" wrapText="1"/>
    </xf>
    <xf numFmtId="0" fontId="21" fillId="14" borderId="7" xfId="5" applyFont="1" applyFill="1" applyBorder="1" applyAlignment="1">
      <alignment horizontal="left" vertical="center" wrapText="1"/>
    </xf>
    <xf numFmtId="0" fontId="21" fillId="14" borderId="8" xfId="5" applyFont="1" applyFill="1" applyBorder="1" applyAlignment="1">
      <alignment horizontal="left" vertical="center" wrapText="1"/>
    </xf>
    <xf numFmtId="0" fontId="22" fillId="14" borderId="3" xfId="1" applyFont="1" applyFill="1" applyBorder="1" applyAlignment="1">
      <alignment horizontal="left" vertical="center" wrapText="1"/>
    </xf>
    <xf numFmtId="0" fontId="20" fillId="0" borderId="0" xfId="1" applyFont="1" applyAlignment="1">
      <alignment horizontal="left" vertical="center" wrapText="1"/>
    </xf>
    <xf numFmtId="0" fontId="21" fillId="14" borderId="2" xfId="5" applyFont="1" applyFill="1" applyBorder="1" applyAlignment="1">
      <alignment horizontal="left" vertical="center" wrapText="1"/>
    </xf>
    <xf numFmtId="0" fontId="22" fillId="14" borderId="5" xfId="1" applyFont="1" applyFill="1" applyBorder="1" applyAlignment="1">
      <alignment horizontal="left" vertical="center" wrapText="1"/>
    </xf>
    <xf numFmtId="0" fontId="21" fillId="10" borderId="6" xfId="6" applyFont="1" applyFill="1" applyBorder="1" applyAlignment="1">
      <alignment horizontal="left" vertical="center" wrapText="1"/>
    </xf>
    <xf numFmtId="0" fontId="21" fillId="10" borderId="7" xfId="6" applyFont="1" applyFill="1" applyBorder="1" applyAlignment="1">
      <alignment horizontal="left" vertical="center" wrapText="1"/>
    </xf>
    <xf numFmtId="0" fontId="21" fillId="10" borderId="8" xfId="6" applyFont="1" applyFill="1" applyBorder="1" applyAlignment="1">
      <alignment horizontal="left" vertical="center" wrapText="1"/>
    </xf>
    <xf numFmtId="0" fontId="20" fillId="0" borderId="2" xfId="1" applyFont="1" applyBorder="1" applyAlignment="1">
      <alignment horizontal="left" vertical="center" wrapText="1"/>
    </xf>
    <xf numFmtId="0" fontId="20" fillId="15" borderId="2" xfId="1" applyFont="1" applyFill="1" applyBorder="1" applyAlignment="1">
      <alignment horizontal="left" vertical="center" wrapText="1"/>
    </xf>
    <xf numFmtId="0" fontId="20" fillId="0" borderId="3" xfId="1" applyFont="1" applyBorder="1" applyAlignment="1">
      <alignment horizontal="left" vertical="center" wrapText="1"/>
    </xf>
    <xf numFmtId="0" fontId="22" fillId="0" borderId="2" xfId="3" applyFont="1" applyBorder="1" applyAlignment="1">
      <alignment horizontal="left" vertical="center" wrapText="1"/>
    </xf>
    <xf numFmtId="0" fontId="20" fillId="0" borderId="4" xfId="1" applyFont="1" applyBorder="1" applyAlignment="1">
      <alignment horizontal="left" vertical="center" wrapText="1"/>
    </xf>
    <xf numFmtId="0" fontId="21" fillId="15" borderId="2" xfId="6" applyFont="1" applyFill="1" applyBorder="1" applyAlignment="1">
      <alignment horizontal="left" vertical="center" wrapText="1"/>
    </xf>
    <xf numFmtId="0" fontId="23" fillId="15" borderId="2" xfId="6" applyFont="1" applyFill="1" applyBorder="1" applyAlignment="1">
      <alignment horizontal="left" vertical="center" wrapText="1"/>
    </xf>
    <xf numFmtId="0" fontId="20" fillId="15" borderId="2" xfId="1" applyFont="1" applyFill="1" applyBorder="1" applyAlignment="1">
      <alignment horizontal="left" vertical="center"/>
    </xf>
    <xf numFmtId="0" fontId="20" fillId="0" borderId="2" xfId="1" applyFont="1" applyBorder="1" applyAlignment="1">
      <alignment horizontal="left" vertical="center"/>
    </xf>
    <xf numFmtId="0" fontId="20" fillId="0" borderId="5" xfId="1" applyFont="1" applyBorder="1" applyAlignment="1">
      <alignment horizontal="left" vertical="center" wrapText="1"/>
    </xf>
    <xf numFmtId="0" fontId="20" fillId="0" borderId="2" xfId="1" quotePrefix="1" applyFont="1" applyBorder="1" applyAlignment="1">
      <alignment horizontal="left" vertical="center" wrapText="1"/>
    </xf>
    <xf numFmtId="0" fontId="21" fillId="10" borderId="9" xfId="7" applyFont="1" applyFill="1" applyBorder="1" applyAlignment="1">
      <alignment horizontal="left" vertical="center" wrapText="1"/>
    </xf>
    <xf numFmtId="0" fontId="21" fillId="10" borderId="10" xfId="7" applyFont="1" applyFill="1" applyBorder="1" applyAlignment="1">
      <alignment horizontal="left" vertical="center" wrapText="1"/>
    </xf>
    <xf numFmtId="0" fontId="21" fillId="10" borderId="11" xfId="7" applyFont="1" applyFill="1" applyBorder="1" applyAlignment="1">
      <alignment horizontal="left" vertical="center" wrapText="1"/>
    </xf>
    <xf numFmtId="0" fontId="22" fillId="10" borderId="0" xfId="1" applyFont="1" applyFill="1" applyAlignment="1">
      <alignment horizontal="left" vertical="center" wrapText="1"/>
    </xf>
    <xf numFmtId="0" fontId="20" fillId="16" borderId="3" xfId="1" applyFont="1" applyFill="1" applyBorder="1" applyAlignment="1">
      <alignment horizontal="left" vertical="center" wrapText="1"/>
    </xf>
    <xf numFmtId="0" fontId="20" fillId="16" borderId="4" xfId="1" applyFont="1" applyFill="1" applyBorder="1" applyAlignment="1">
      <alignment horizontal="left" vertical="center" wrapText="1"/>
    </xf>
    <xf numFmtId="0" fontId="20" fillId="16" borderId="5" xfId="1" applyFont="1" applyFill="1" applyBorder="1" applyAlignment="1">
      <alignment horizontal="left" vertical="center" wrapText="1"/>
    </xf>
    <xf numFmtId="0" fontId="20" fillId="16" borderId="2" xfId="1" applyFont="1" applyFill="1" applyBorder="1" applyAlignment="1">
      <alignment horizontal="left" vertical="center" wrapText="1"/>
    </xf>
    <xf numFmtId="0" fontId="20" fillId="16" borderId="5" xfId="1" applyFont="1" applyFill="1" applyBorder="1" applyAlignment="1">
      <alignment vertical="center" wrapText="1"/>
    </xf>
  </cellXfs>
  <cellStyles count="8">
    <cellStyle name="Calculation 2" xfId="7" xr:uid="{5F26B419-F7CD-41F1-BB13-47B37750780C}"/>
    <cellStyle name="Good 2" xfId="5" xr:uid="{7F40865F-8BD0-4817-BA63-CC6A61E27181}"/>
    <cellStyle name="Hyperlink" xfId="4" builtinId="8"/>
    <cellStyle name="Neutral 2" xfId="6" xr:uid="{E3626605-337B-4BBC-9EF1-F524A0934DB9}"/>
    <cellStyle name="Normal" xfId="0" builtinId="0"/>
    <cellStyle name="Normal 2" xfId="1" xr:uid="{4934A55F-CA61-45FE-A2B4-EB9DA34C9121}"/>
    <cellStyle name="Normal 3" xfId="3" xr:uid="{FB81712A-C380-45D8-9D51-1C71A9F456B1}"/>
    <cellStyle name="Normal 4" xfId="2" xr:uid="{5691333E-66CF-4E0C-9E82-4199868A91C2}"/>
  </cellStyles>
  <dxfs count="4">
    <dxf>
      <font>
        <condense val="0"/>
        <extend val="0"/>
        <color indexed="12"/>
      </font>
    </dxf>
    <dxf>
      <font>
        <condense val="0"/>
        <extend val="0"/>
        <color indexed="10"/>
      </font>
    </dxf>
    <dxf>
      <font>
        <condense val="0"/>
        <extend val="0"/>
        <color indexed="12"/>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757544</xdr:colOff>
      <xdr:row>13</xdr:row>
      <xdr:rowOff>490175</xdr:rowOff>
    </xdr:from>
    <xdr:to>
      <xdr:col>3</xdr:col>
      <xdr:colOff>3339595</xdr:colOff>
      <xdr:row>13</xdr:row>
      <xdr:rowOff>2889534</xdr:rowOff>
    </xdr:to>
    <xdr:pic>
      <xdr:nvPicPr>
        <xdr:cNvPr id="2" name="Picture 1">
          <a:extLst>
            <a:ext uri="{FF2B5EF4-FFF2-40B4-BE49-F238E27FC236}">
              <a16:creationId xmlns:a16="http://schemas.microsoft.com/office/drawing/2014/main" id="{AEEAE5CD-D1B8-4936-8156-8D98BA9E4F5B}"/>
            </a:ext>
          </a:extLst>
        </xdr:cNvPr>
        <xdr:cNvPicPr>
          <a:picLocks noChangeAspect="1"/>
        </xdr:cNvPicPr>
      </xdr:nvPicPr>
      <xdr:blipFill>
        <a:blip xmlns:r="http://schemas.openxmlformats.org/officeDocument/2006/relationships" r:embed="rId1"/>
        <a:stretch>
          <a:fillRect/>
        </a:stretch>
      </xdr:blipFill>
      <xdr:spPr>
        <a:xfrm>
          <a:off x="8288421" y="3097017"/>
          <a:ext cx="2582051" cy="23993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2142065</xdr:colOff>
      <xdr:row>13</xdr:row>
      <xdr:rowOff>5574</xdr:rowOff>
    </xdr:from>
    <xdr:to>
      <xdr:col>3</xdr:col>
      <xdr:colOff>3217332</xdr:colOff>
      <xdr:row>14</xdr:row>
      <xdr:rowOff>46997</xdr:rowOff>
    </xdr:to>
    <xdr:pic>
      <xdr:nvPicPr>
        <xdr:cNvPr id="3" name="Picture 2">
          <a:extLst>
            <a:ext uri="{FF2B5EF4-FFF2-40B4-BE49-F238E27FC236}">
              <a16:creationId xmlns:a16="http://schemas.microsoft.com/office/drawing/2014/main" id="{7F1D6AFD-A862-DD33-4AD7-309181910123}"/>
            </a:ext>
          </a:extLst>
        </xdr:cNvPr>
        <xdr:cNvPicPr>
          <a:picLocks noChangeAspect="1"/>
        </xdr:cNvPicPr>
      </xdr:nvPicPr>
      <xdr:blipFill>
        <a:blip xmlns:r="http://schemas.openxmlformats.org/officeDocument/2006/relationships" r:embed="rId1"/>
        <a:stretch>
          <a:fillRect/>
        </a:stretch>
      </xdr:blipFill>
      <xdr:spPr>
        <a:xfrm>
          <a:off x="9668932" y="2647174"/>
          <a:ext cx="1075267" cy="10997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983A-3834-476B-8328-30AE120DB309}">
  <dimension ref="A7:E20"/>
  <sheetViews>
    <sheetView zoomScale="90" zoomScaleNormal="90" workbookViewId="0">
      <selection activeCell="A3" sqref="A3"/>
    </sheetView>
  </sheetViews>
  <sheetFormatPr defaultRowHeight="14.5" x14ac:dyDescent="0.35"/>
  <cols>
    <col min="1" max="1" width="25.54296875" style="44" customWidth="1"/>
    <col min="2" max="2" width="14.90625" style="44" customWidth="1"/>
    <col min="3" max="3" width="45.6328125" style="44" customWidth="1"/>
    <col min="4" max="4" width="34.453125" style="44" hidden="1" customWidth="1"/>
    <col min="5" max="5" width="36.54296875" style="44" hidden="1" customWidth="1"/>
    <col min="6" max="16384" width="8.7265625" style="44"/>
  </cols>
  <sheetData>
    <row r="7" spans="1:5" ht="17.5" x14ac:dyDescent="0.35">
      <c r="A7" s="54" t="s">
        <v>186</v>
      </c>
      <c r="B7" s="54" t="s">
        <v>185</v>
      </c>
      <c r="C7" s="54" t="s">
        <v>184</v>
      </c>
      <c r="D7" s="54" t="s">
        <v>183</v>
      </c>
      <c r="E7" s="54" t="s">
        <v>182</v>
      </c>
    </row>
    <row r="8" spans="1:5" x14ac:dyDescent="0.35">
      <c r="A8" s="51" t="s">
        <v>181</v>
      </c>
      <c r="B8" s="50" t="s">
        <v>154</v>
      </c>
      <c r="C8" s="49" t="s">
        <v>180</v>
      </c>
      <c r="D8" s="48"/>
      <c r="E8" s="48"/>
    </row>
    <row r="9" spans="1:5" x14ac:dyDescent="0.35">
      <c r="A9" s="51" t="s">
        <v>179</v>
      </c>
      <c r="B9" s="50" t="s">
        <v>154</v>
      </c>
      <c r="C9" s="49"/>
      <c r="D9" s="48"/>
      <c r="E9" s="48"/>
    </row>
    <row r="10" spans="1:5" ht="75" customHeight="1" x14ac:dyDescent="0.35">
      <c r="A10" s="51" t="s">
        <v>178</v>
      </c>
      <c r="B10" s="50" t="s">
        <v>154</v>
      </c>
      <c r="C10" s="53" t="s">
        <v>177</v>
      </c>
      <c r="D10" s="52" t="s">
        <v>176</v>
      </c>
      <c r="E10" s="52" t="s">
        <v>175</v>
      </c>
    </row>
    <row r="11" spans="1:5" ht="75" customHeight="1" x14ac:dyDescent="0.35">
      <c r="A11" s="51" t="s">
        <v>174</v>
      </c>
      <c r="B11" s="50" t="s">
        <v>154</v>
      </c>
      <c r="C11" s="53" t="s">
        <v>173</v>
      </c>
      <c r="D11" s="52" t="s">
        <v>172</v>
      </c>
      <c r="E11" s="52" t="s">
        <v>171</v>
      </c>
    </row>
    <row r="12" spans="1:5" ht="31.25" customHeight="1" x14ac:dyDescent="0.35">
      <c r="A12" s="51" t="s">
        <v>170</v>
      </c>
      <c r="B12" s="50" t="s">
        <v>154</v>
      </c>
      <c r="C12" s="49" t="s">
        <v>169</v>
      </c>
      <c r="D12" s="52" t="s">
        <v>168</v>
      </c>
      <c r="E12" s="52" t="s">
        <v>167</v>
      </c>
    </row>
    <row r="13" spans="1:5" ht="28.5" x14ac:dyDescent="0.35">
      <c r="A13" s="50" t="s">
        <v>166</v>
      </c>
      <c r="B13" s="50" t="s">
        <v>154</v>
      </c>
      <c r="C13" s="49" t="s">
        <v>165</v>
      </c>
      <c r="D13" s="48"/>
      <c r="E13" s="48"/>
    </row>
    <row r="14" spans="1:5" x14ac:dyDescent="0.35">
      <c r="A14" s="51" t="s">
        <v>164</v>
      </c>
      <c r="B14" s="50" t="s">
        <v>154</v>
      </c>
      <c r="C14" s="49" t="s">
        <v>163</v>
      </c>
      <c r="D14" s="48"/>
      <c r="E14" s="48"/>
    </row>
    <row r="15" spans="1:5" x14ac:dyDescent="0.35">
      <c r="A15" s="50" t="s">
        <v>162</v>
      </c>
      <c r="B15" s="50" t="s">
        <v>154</v>
      </c>
      <c r="C15" s="49" t="s">
        <v>161</v>
      </c>
      <c r="D15" s="48"/>
      <c r="E15" s="48"/>
    </row>
    <row r="16" spans="1:5" x14ac:dyDescent="0.35">
      <c r="A16" s="50" t="s">
        <v>160</v>
      </c>
      <c r="B16" s="50"/>
      <c r="C16" s="49"/>
      <c r="D16" s="48"/>
      <c r="E16" s="48"/>
    </row>
    <row r="17" spans="1:5" x14ac:dyDescent="0.35">
      <c r="A17" s="50" t="s">
        <v>159</v>
      </c>
      <c r="B17" s="50"/>
      <c r="C17" s="49" t="s">
        <v>156</v>
      </c>
      <c r="D17" s="48"/>
      <c r="E17" s="48"/>
    </row>
    <row r="18" spans="1:5" x14ac:dyDescent="0.35">
      <c r="A18" s="50" t="s">
        <v>158</v>
      </c>
      <c r="B18" s="50"/>
      <c r="C18" s="49" t="s">
        <v>156</v>
      </c>
      <c r="D18" s="48"/>
      <c r="E18" s="48"/>
    </row>
    <row r="19" spans="1:5" x14ac:dyDescent="0.35">
      <c r="A19" s="51" t="s">
        <v>157</v>
      </c>
      <c r="B19" s="50"/>
      <c r="C19" s="49" t="s">
        <v>156</v>
      </c>
      <c r="D19" s="48"/>
      <c r="E19" s="48"/>
    </row>
    <row r="20" spans="1:5" ht="28.5" x14ac:dyDescent="0.35">
      <c r="A20" s="51" t="s">
        <v>155</v>
      </c>
      <c r="B20" s="50" t="s">
        <v>154</v>
      </c>
      <c r="C20" s="49" t="s">
        <v>153</v>
      </c>
      <c r="D20" s="48"/>
      <c r="E20" s="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5B76-02A3-49C7-B706-1BF11A38E635}">
  <dimension ref="A1:S272"/>
  <sheetViews>
    <sheetView zoomScale="57" workbookViewId="0">
      <selection activeCell="A5" sqref="A5"/>
    </sheetView>
  </sheetViews>
  <sheetFormatPr defaultRowHeight="16" outlineLevelRow="1" x14ac:dyDescent="0.4"/>
  <cols>
    <col min="1" max="1" width="15.6328125" style="6" customWidth="1"/>
    <col min="2" max="2" width="45.08984375" style="6" customWidth="1"/>
    <col min="3" max="3" width="47" style="6" customWidth="1"/>
    <col min="4" max="4" width="55.08984375" style="6" customWidth="1"/>
    <col min="5" max="7" width="8.7265625" style="6"/>
    <col min="8" max="16" width="0" style="6" hidden="1" customWidth="1"/>
    <col min="17" max="18" width="8.7265625" style="6"/>
    <col min="19" max="19" width="28.54296875" style="6" customWidth="1"/>
    <col min="20" max="16384" width="8.7265625" style="6"/>
  </cols>
  <sheetData>
    <row r="1" spans="1:19" x14ac:dyDescent="0.4">
      <c r="A1" s="1"/>
      <c r="B1" s="2"/>
      <c r="C1" s="3" t="s">
        <v>0</v>
      </c>
      <c r="D1" s="3"/>
      <c r="E1" s="4"/>
      <c r="F1" s="4"/>
      <c r="G1" s="4"/>
      <c r="H1" s="4"/>
      <c r="I1" s="4"/>
      <c r="J1" s="4"/>
      <c r="K1" s="4"/>
      <c r="L1" s="4"/>
      <c r="M1" s="4"/>
      <c r="N1" s="4"/>
      <c r="O1" s="4"/>
      <c r="P1" s="4"/>
      <c r="Q1" s="4"/>
      <c r="R1" s="5"/>
      <c r="S1" s="2"/>
    </row>
    <row r="2" spans="1:19" x14ac:dyDescent="0.4">
      <c r="A2" s="1"/>
      <c r="B2" s="2"/>
      <c r="C2" s="7" t="s">
        <v>1</v>
      </c>
      <c r="D2" s="2" t="s">
        <v>2</v>
      </c>
      <c r="E2" s="4"/>
      <c r="F2" s="4"/>
      <c r="G2" s="4"/>
      <c r="H2" s="4"/>
      <c r="I2" s="4"/>
      <c r="J2" s="4"/>
      <c r="K2" s="4"/>
      <c r="L2" s="4"/>
      <c r="M2" s="4"/>
      <c r="N2" s="4"/>
      <c r="O2" s="4"/>
      <c r="P2" s="4"/>
      <c r="Q2" s="4"/>
      <c r="R2" s="5"/>
      <c r="S2" s="2"/>
    </row>
    <row r="3" spans="1:19" x14ac:dyDescent="0.4">
      <c r="A3" s="1"/>
      <c r="B3" s="2"/>
      <c r="C3" s="7" t="s">
        <v>3</v>
      </c>
      <c r="D3" s="2" t="s">
        <v>300</v>
      </c>
      <c r="E3" s="4"/>
      <c r="F3" s="4"/>
      <c r="G3" s="4"/>
      <c r="H3" s="4"/>
      <c r="I3" s="4"/>
      <c r="J3" s="4"/>
      <c r="K3" s="4"/>
      <c r="L3" s="4"/>
      <c r="M3" s="4"/>
      <c r="N3" s="4"/>
      <c r="O3" s="4"/>
      <c r="P3" s="4"/>
      <c r="Q3" s="4"/>
      <c r="R3" s="5"/>
      <c r="S3" s="2"/>
    </row>
    <row r="4" spans="1:19" x14ac:dyDescent="0.4">
      <c r="A4" s="1"/>
      <c r="B4" s="2"/>
      <c r="C4" s="7" t="s">
        <v>5</v>
      </c>
      <c r="D4" s="8">
        <f>COUNTIF($Q$13:$Q$1169,"P")</f>
        <v>0</v>
      </c>
      <c r="E4" s="4"/>
      <c r="F4" s="4"/>
      <c r="G4" s="4"/>
      <c r="H4" s="4"/>
      <c r="I4" s="4"/>
      <c r="J4" s="4"/>
      <c r="K4" s="4"/>
      <c r="L4" s="4"/>
      <c r="M4" s="4"/>
      <c r="N4" s="4"/>
      <c r="O4" s="4"/>
      <c r="P4" s="4"/>
      <c r="Q4" s="4"/>
      <c r="R4" s="5"/>
      <c r="S4" s="2"/>
    </row>
    <row r="5" spans="1:19" x14ac:dyDescent="0.4">
      <c r="A5" s="1"/>
      <c r="B5" s="2"/>
      <c r="C5" s="7" t="s">
        <v>6</v>
      </c>
      <c r="D5" s="8">
        <f>COUNTIF($Q$13:$Q$1169,"F")</f>
        <v>0</v>
      </c>
      <c r="E5" s="4"/>
      <c r="F5" s="4"/>
      <c r="G5" s="4"/>
      <c r="H5" s="4"/>
      <c r="I5" s="4"/>
      <c r="J5" s="4"/>
      <c r="K5" s="4"/>
      <c r="L5" s="4"/>
      <c r="M5" s="4"/>
      <c r="N5" s="4"/>
      <c r="O5" s="4"/>
      <c r="P5" s="4"/>
      <c r="Q5" s="4"/>
      <c r="R5" s="5"/>
      <c r="S5" s="2"/>
    </row>
    <row r="6" spans="1:19" x14ac:dyDescent="0.4">
      <c r="A6" s="1"/>
      <c r="B6" s="2"/>
      <c r="C6" s="7" t="s">
        <v>7</v>
      </c>
      <c r="D6" s="8">
        <f>COUNTIF($Q$13:$Q$1169,"PE")</f>
        <v>0</v>
      </c>
      <c r="E6" s="4"/>
      <c r="F6" s="4"/>
      <c r="G6" s="4"/>
      <c r="H6" s="4"/>
      <c r="I6" s="4"/>
      <c r="J6" s="4"/>
      <c r="K6" s="4"/>
      <c r="L6" s="4"/>
      <c r="M6" s="4"/>
      <c r="N6" s="4"/>
      <c r="O6" s="4"/>
      <c r="P6" s="4"/>
      <c r="Q6" s="4"/>
      <c r="R6" s="5"/>
      <c r="S6" s="2"/>
    </row>
    <row r="7" spans="1:19" x14ac:dyDescent="0.4">
      <c r="A7" s="1"/>
      <c r="B7" s="2"/>
      <c r="C7" s="7" t="s">
        <v>8</v>
      </c>
      <c r="D7" s="8">
        <f>D8-D4-D5-D6</f>
        <v>154</v>
      </c>
      <c r="E7" s="4"/>
      <c r="F7" s="4"/>
      <c r="G7" s="4"/>
      <c r="H7" s="4"/>
      <c r="I7" s="4"/>
      <c r="J7" s="4"/>
      <c r="K7" s="4"/>
      <c r="L7" s="4"/>
      <c r="M7" s="4"/>
      <c r="N7" s="4"/>
      <c r="O7" s="4"/>
      <c r="P7" s="4"/>
      <c r="Q7" s="4"/>
      <c r="R7" s="5"/>
      <c r="S7" s="2"/>
    </row>
    <row r="8" spans="1:19" x14ac:dyDescent="0.4">
      <c r="A8" s="1"/>
      <c r="B8" s="2"/>
      <c r="C8" s="7" t="s">
        <v>9</v>
      </c>
      <c r="D8" s="8">
        <f>COUNTA($D$13:$D$1169)</f>
        <v>154</v>
      </c>
      <c r="E8" s="4"/>
      <c r="F8" s="4"/>
      <c r="G8" s="4"/>
      <c r="H8" s="4"/>
      <c r="I8" s="4"/>
      <c r="J8" s="4"/>
      <c r="K8" s="4"/>
      <c r="L8" s="4"/>
      <c r="M8" s="4"/>
      <c r="N8" s="4"/>
      <c r="O8" s="4"/>
      <c r="P8" s="4"/>
      <c r="Q8" s="4"/>
      <c r="R8" s="5"/>
      <c r="S8" s="2"/>
    </row>
    <row r="9" spans="1:19" x14ac:dyDescent="0.4">
      <c r="A9" s="1"/>
      <c r="B9" s="2"/>
      <c r="C9" s="2"/>
      <c r="D9" s="2"/>
      <c r="E9" s="4"/>
      <c r="F9" s="4"/>
      <c r="G9" s="4"/>
      <c r="H9" s="4"/>
      <c r="I9" s="4"/>
      <c r="J9" s="4"/>
      <c r="K9" s="4"/>
      <c r="L9" s="4"/>
      <c r="M9" s="4"/>
      <c r="N9" s="4"/>
      <c r="O9" s="4"/>
      <c r="P9" s="4"/>
      <c r="Q9" s="4"/>
      <c r="R9" s="5"/>
      <c r="S9" s="2"/>
    </row>
    <row r="10" spans="1:19" x14ac:dyDescent="0.4">
      <c r="A10" s="9" t="s">
        <v>3</v>
      </c>
      <c r="B10" s="9" t="s">
        <v>10</v>
      </c>
      <c r="C10" s="9" t="s">
        <v>11</v>
      </c>
      <c r="D10" s="9" t="s">
        <v>12</v>
      </c>
      <c r="E10" s="9" t="s">
        <v>13</v>
      </c>
      <c r="F10" s="9"/>
      <c r="G10" s="9"/>
      <c r="H10" s="9" t="s">
        <v>14</v>
      </c>
      <c r="I10" s="9"/>
      <c r="J10" s="9"/>
      <c r="K10" s="9" t="s">
        <v>15</v>
      </c>
      <c r="L10" s="9"/>
      <c r="M10" s="9"/>
      <c r="N10" s="9" t="s">
        <v>16</v>
      </c>
      <c r="O10" s="9"/>
      <c r="P10" s="9"/>
      <c r="Q10" s="9" t="s">
        <v>17</v>
      </c>
      <c r="R10" s="10" t="s">
        <v>18</v>
      </c>
      <c r="S10" s="9" t="s">
        <v>19</v>
      </c>
    </row>
    <row r="11" spans="1:19" x14ac:dyDescent="0.4">
      <c r="A11" s="9"/>
      <c r="B11" s="9"/>
      <c r="C11" s="9"/>
      <c r="D11" s="9"/>
      <c r="E11" s="11" t="s">
        <v>20</v>
      </c>
      <c r="F11" s="11" t="s">
        <v>21</v>
      </c>
      <c r="G11" s="11" t="s">
        <v>22</v>
      </c>
      <c r="H11" s="11" t="s">
        <v>20</v>
      </c>
      <c r="I11" s="11" t="s">
        <v>21</v>
      </c>
      <c r="J11" s="11" t="s">
        <v>22</v>
      </c>
      <c r="K11" s="11" t="s">
        <v>20</v>
      </c>
      <c r="L11" s="11" t="s">
        <v>21</v>
      </c>
      <c r="M11" s="11" t="s">
        <v>22</v>
      </c>
      <c r="N11" s="11" t="s">
        <v>20</v>
      </c>
      <c r="O11" s="11" t="s">
        <v>21</v>
      </c>
      <c r="P11" s="11" t="s">
        <v>22</v>
      </c>
      <c r="Q11" s="9"/>
      <c r="R11" s="10"/>
      <c r="S11" s="9"/>
    </row>
    <row r="12" spans="1:19" x14ac:dyDescent="0.4">
      <c r="A12" s="12"/>
      <c r="B12" s="13" t="s">
        <v>301</v>
      </c>
      <c r="C12" s="13"/>
      <c r="D12" s="13"/>
      <c r="E12" s="14"/>
      <c r="F12" s="14"/>
      <c r="G12" s="14"/>
      <c r="H12" s="14"/>
      <c r="I12" s="14"/>
      <c r="J12" s="14"/>
      <c r="K12" s="14"/>
      <c r="L12" s="14"/>
      <c r="M12" s="14"/>
      <c r="N12" s="14"/>
      <c r="O12" s="14"/>
      <c r="P12" s="14"/>
      <c r="Q12" s="14"/>
      <c r="R12" s="15"/>
      <c r="S12" s="16"/>
    </row>
    <row r="13" spans="1:19" x14ac:dyDescent="0.4">
      <c r="A13" s="17" t="str">
        <f>IF(AND(D13="",D13=""),"",$D$3&amp;"_"&amp;ROW()-11-COUNTBLANK($D$12:D13))</f>
        <v/>
      </c>
      <c r="B13" s="18" t="s">
        <v>24</v>
      </c>
      <c r="C13" s="18"/>
      <c r="D13" s="18"/>
      <c r="E13" s="19"/>
      <c r="F13" s="19"/>
      <c r="G13" s="19"/>
      <c r="H13" s="4"/>
      <c r="I13" s="4"/>
      <c r="J13" s="4"/>
      <c r="K13" s="4"/>
      <c r="L13" s="4"/>
      <c r="M13" s="4"/>
      <c r="N13" s="4"/>
      <c r="O13" s="4"/>
      <c r="P13" s="4"/>
      <c r="Q13" s="20" t="str">
        <f t="shared" ref="Q13:Q195" si="0">IF(OR(IF(G13="",IF(F13="",IF(E13="","",E13),F13),G13)="F",IF(J13="",IF(I13="",IF(H13="","",H13),I13),J13)="F",IF(M13="",IF(L13="",IF(K13="","",K13),L13),M13)="F",IF(P13="",IF(O13="",IF(N13="","",N13),O13),P13)="F")=TRUE,"F",IF(OR(IF(G13="",IF(F13="",IF(E13="","",E13),F13),G13)="PE",IF(J13="",IF(I13="",IF(H13="","",H13),I13),J13)="PE",IF(M13="",IF(L13="",IF(K13="","",K13),L13),M13)="PE",IF(P13="",IF(O13="",IF(N13="","",N13),O13),P13)="PE")=TRUE,"PE",IF(AND(IF(G13="",IF(F13="",IF(E13="","",E13),F13),G13)="",IF(J13="",IF(I13="",IF(H13="","",H13),I13),J13)="",IF(M13="",IF(L13="",IF(K13="","",K13),L13),M13)="",IF(P13="",IF(O13="",IF(N13="","",N13),O13),P13)="")=TRUE,"","P")))</f>
        <v/>
      </c>
      <c r="R13" s="5"/>
      <c r="S13" s="2"/>
    </row>
    <row r="14" spans="1:19" ht="255.5" customHeight="1" outlineLevel="1" x14ac:dyDescent="0.4">
      <c r="A14" s="17" t="str">
        <f>IF(AND(D14="",D14=""),"",$D$3&amp;"_"&amp;ROW()-11-COUNTBLANK($D$12:D14))</f>
        <v>Register_1</v>
      </c>
      <c r="B14" s="21" t="s">
        <v>25</v>
      </c>
      <c r="C14" s="21" t="s">
        <v>302</v>
      </c>
      <c r="D14" s="22" t="s">
        <v>453</v>
      </c>
      <c r="E14" s="19"/>
      <c r="F14" s="19"/>
      <c r="G14" s="19"/>
      <c r="H14" s="4"/>
      <c r="I14" s="4"/>
      <c r="J14" s="4"/>
      <c r="K14" s="4"/>
      <c r="L14" s="4"/>
      <c r="M14" s="4"/>
      <c r="N14" s="4"/>
      <c r="O14" s="4"/>
      <c r="P14" s="4"/>
      <c r="Q14" s="20" t="str">
        <f t="shared" si="0"/>
        <v/>
      </c>
      <c r="R14" s="5"/>
      <c r="S14" s="2"/>
    </row>
    <row r="15" spans="1:19" ht="124" outlineLevel="1" x14ac:dyDescent="0.4">
      <c r="A15" s="17" t="str">
        <f>IF(AND(D15="",D15=""),"",$D$3&amp;"_"&amp;ROW()-11-COUNTBLANK($D$12:D15))</f>
        <v>Register_2</v>
      </c>
      <c r="B15" s="21" t="s">
        <v>26</v>
      </c>
      <c r="C15" s="21" t="s">
        <v>27</v>
      </c>
      <c r="D15" s="21" t="s">
        <v>28</v>
      </c>
      <c r="E15" s="19"/>
      <c r="F15" s="19"/>
      <c r="G15" s="19"/>
      <c r="H15" s="4"/>
      <c r="I15" s="4"/>
      <c r="J15" s="4"/>
      <c r="K15" s="4"/>
      <c r="L15" s="4"/>
      <c r="M15" s="4"/>
      <c r="N15" s="4"/>
      <c r="O15" s="4"/>
      <c r="P15" s="4"/>
      <c r="Q15" s="20" t="str">
        <f t="shared" si="0"/>
        <v/>
      </c>
      <c r="R15" s="5"/>
      <c r="S15" s="2"/>
    </row>
    <row r="16" spans="1:19" ht="31" outlineLevel="1" x14ac:dyDescent="0.4">
      <c r="A16" s="17" t="str">
        <f>IF(AND(D16="",D16=""),"",$D$3&amp;"_"&amp;ROW()-11-COUNTBLANK($D$12:D16))</f>
        <v>Register_3</v>
      </c>
      <c r="B16" s="21" t="s">
        <v>29</v>
      </c>
      <c r="C16" s="21" t="s">
        <v>30</v>
      </c>
      <c r="D16" s="23" t="s">
        <v>31</v>
      </c>
      <c r="E16" s="19"/>
      <c r="F16" s="19"/>
      <c r="G16" s="19"/>
      <c r="H16" s="4"/>
      <c r="I16" s="4"/>
      <c r="J16" s="4"/>
      <c r="K16" s="4"/>
      <c r="L16" s="4"/>
      <c r="M16" s="4"/>
      <c r="N16" s="4"/>
      <c r="O16" s="4"/>
      <c r="P16" s="4"/>
      <c r="Q16" s="20" t="str">
        <f t="shared" si="0"/>
        <v/>
      </c>
      <c r="R16" s="5"/>
      <c r="S16" s="2"/>
    </row>
    <row r="17" spans="1:19" ht="31" outlineLevel="1" x14ac:dyDescent="0.4">
      <c r="A17" s="17" t="str">
        <f>IF(AND(D17="",D17=""),"",$D$3&amp;"_"&amp;ROW()-11-COUNTBLANK($D$12:D17))</f>
        <v>Register_4</v>
      </c>
      <c r="B17" s="21" t="s">
        <v>32</v>
      </c>
      <c r="C17" s="21" t="s">
        <v>33</v>
      </c>
      <c r="D17" s="21" t="s">
        <v>34</v>
      </c>
      <c r="E17" s="19"/>
      <c r="F17" s="19"/>
      <c r="G17" s="19"/>
      <c r="H17" s="4"/>
      <c r="I17" s="4"/>
      <c r="J17" s="4"/>
      <c r="K17" s="4"/>
      <c r="L17" s="4"/>
      <c r="M17" s="4"/>
      <c r="N17" s="4"/>
      <c r="O17" s="4"/>
      <c r="P17" s="4"/>
      <c r="Q17" s="20" t="str">
        <f t="shared" si="0"/>
        <v/>
      </c>
      <c r="R17" s="5"/>
      <c r="S17" s="2"/>
    </row>
    <row r="18" spans="1:19" ht="31" outlineLevel="1" x14ac:dyDescent="0.4">
      <c r="A18" s="17" t="str">
        <f>IF(AND(D18="",D18=""),"",$D$3&amp;"_"&amp;ROW()-11-COUNTBLANK($D$12:D18))</f>
        <v>Register_5</v>
      </c>
      <c r="B18" s="21" t="s">
        <v>35</v>
      </c>
      <c r="C18" s="21" t="s">
        <v>36</v>
      </c>
      <c r="D18" s="21" t="s">
        <v>37</v>
      </c>
      <c r="E18" s="19"/>
      <c r="F18" s="19"/>
      <c r="G18" s="19"/>
      <c r="H18" s="4"/>
      <c r="I18" s="4"/>
      <c r="J18" s="4"/>
      <c r="K18" s="4"/>
      <c r="L18" s="4"/>
      <c r="M18" s="4"/>
      <c r="N18" s="4"/>
      <c r="O18" s="4"/>
      <c r="P18" s="4"/>
      <c r="Q18" s="20" t="str">
        <f t="shared" si="0"/>
        <v/>
      </c>
      <c r="R18" s="5"/>
      <c r="S18" s="2"/>
    </row>
    <row r="19" spans="1:19" ht="31" outlineLevel="1" x14ac:dyDescent="0.4">
      <c r="A19" s="17" t="str">
        <f>IF(AND(D19="",D19=""),"",$D$3&amp;"_"&amp;ROW()-11-COUNTBLANK($D$12:D19))</f>
        <v>Register_6</v>
      </c>
      <c r="B19" s="24" t="s">
        <v>38</v>
      </c>
      <c r="C19" s="24" t="s">
        <v>39</v>
      </c>
      <c r="D19" s="24" t="s">
        <v>40</v>
      </c>
      <c r="E19" s="19"/>
      <c r="F19" s="19"/>
      <c r="G19" s="19"/>
      <c r="H19" s="4"/>
      <c r="I19" s="4"/>
      <c r="J19" s="4"/>
      <c r="K19" s="4"/>
      <c r="L19" s="4"/>
      <c r="M19" s="4"/>
      <c r="N19" s="4"/>
      <c r="O19" s="4"/>
      <c r="P19" s="4"/>
      <c r="Q19" s="20" t="str">
        <f t="shared" si="0"/>
        <v/>
      </c>
      <c r="R19" s="5"/>
      <c r="S19" s="2"/>
    </row>
    <row r="20" spans="1:19" x14ac:dyDescent="0.4">
      <c r="A20" s="17" t="str">
        <f>IF(AND(D20="",D20=""),"",$D$3&amp;"_"&amp;ROW()-11-COUNTBLANK($D$12:D20))</f>
        <v/>
      </c>
      <c r="B20" s="25" t="s">
        <v>303</v>
      </c>
      <c r="C20" s="25"/>
      <c r="D20" s="25"/>
      <c r="E20" s="19"/>
      <c r="F20" s="19"/>
      <c r="G20" s="19"/>
      <c r="H20" s="4"/>
      <c r="I20" s="4"/>
      <c r="J20" s="4"/>
      <c r="K20" s="4"/>
      <c r="L20" s="4"/>
      <c r="M20" s="4"/>
      <c r="N20" s="4"/>
      <c r="O20" s="4"/>
      <c r="P20" s="4"/>
      <c r="Q20" s="20" t="str">
        <f t="shared" si="0"/>
        <v/>
      </c>
      <c r="R20" s="5"/>
      <c r="S20" s="2"/>
    </row>
    <row r="21" spans="1:19" ht="31" outlineLevel="1" x14ac:dyDescent="0.4">
      <c r="A21" s="17" t="str">
        <f>IF(AND(D21="",D21=""),"",$D$3&amp;"_"&amp;ROW()-11-COUNTBLANK($D$12:D21))</f>
        <v>Register_7</v>
      </c>
      <c r="B21" s="24" t="s">
        <v>45</v>
      </c>
      <c r="C21" s="21" t="s">
        <v>304</v>
      </c>
      <c r="D21" s="24" t="s">
        <v>305</v>
      </c>
      <c r="E21" s="19"/>
      <c r="F21" s="19"/>
      <c r="G21" s="19"/>
      <c r="H21" s="4"/>
      <c r="I21" s="4"/>
      <c r="J21" s="4"/>
      <c r="K21" s="4"/>
      <c r="L21" s="4"/>
      <c r="M21" s="4"/>
      <c r="N21" s="4"/>
      <c r="O21" s="4"/>
      <c r="P21" s="4"/>
      <c r="Q21" s="20" t="str">
        <f t="shared" si="0"/>
        <v/>
      </c>
      <c r="R21" s="5"/>
      <c r="S21" s="2"/>
    </row>
    <row r="22" spans="1:19" ht="31" outlineLevel="1" x14ac:dyDescent="0.4">
      <c r="A22" s="17" t="str">
        <f>IF(AND(D22="",D22=""),"",$D$3&amp;"_"&amp;ROW()-11-COUNTBLANK($D$12:D22))</f>
        <v>Register_8</v>
      </c>
      <c r="B22" s="26" t="s">
        <v>306</v>
      </c>
      <c r="C22" s="21" t="s">
        <v>307</v>
      </c>
      <c r="D22" s="27" t="s">
        <v>308</v>
      </c>
      <c r="E22" s="19"/>
      <c r="F22" s="19"/>
      <c r="G22" s="19"/>
      <c r="H22" s="4"/>
      <c r="I22" s="4"/>
      <c r="J22" s="4"/>
      <c r="K22" s="4"/>
      <c r="L22" s="4"/>
      <c r="M22" s="4"/>
      <c r="N22" s="4"/>
      <c r="O22" s="4"/>
      <c r="P22" s="4"/>
      <c r="Q22" s="20" t="str">
        <f t="shared" si="0"/>
        <v/>
      </c>
      <c r="R22" s="5"/>
      <c r="S22" s="2"/>
    </row>
    <row r="23" spans="1:19" ht="31" outlineLevel="1" x14ac:dyDescent="0.4">
      <c r="A23" s="17" t="str">
        <f>IF(AND(D23="",D23=""),"",$D$3&amp;"_"&amp;ROW()-11-COUNTBLANK($D$12:D23))</f>
        <v>Register_9</v>
      </c>
      <c r="B23" s="26" t="s">
        <v>309</v>
      </c>
      <c r="C23" s="21" t="s">
        <v>310</v>
      </c>
      <c r="D23" s="27" t="s">
        <v>66</v>
      </c>
      <c r="E23" s="19"/>
      <c r="F23" s="19"/>
      <c r="G23" s="19"/>
      <c r="H23" s="4"/>
      <c r="I23" s="4"/>
      <c r="J23" s="4"/>
      <c r="K23" s="4"/>
      <c r="L23" s="4"/>
      <c r="M23" s="4"/>
      <c r="N23" s="4"/>
      <c r="O23" s="4"/>
      <c r="P23" s="4"/>
      <c r="Q23" s="20" t="str">
        <f t="shared" si="0"/>
        <v/>
      </c>
      <c r="R23" s="5"/>
      <c r="S23" s="2"/>
    </row>
    <row r="24" spans="1:19" ht="46.5" outlineLevel="1" x14ac:dyDescent="0.4">
      <c r="A24" s="17" t="str">
        <f>IF(AND(D24="",D24=""),"",$D$3&amp;"_"&amp;ROW()-11-COUNTBLANK($D$12:D24))</f>
        <v>Register_10</v>
      </c>
      <c r="B24" s="26" t="s">
        <v>311</v>
      </c>
      <c r="C24" s="21" t="s">
        <v>312</v>
      </c>
      <c r="D24" s="27" t="s">
        <v>66</v>
      </c>
      <c r="E24" s="19"/>
      <c r="F24" s="19"/>
      <c r="G24" s="19"/>
      <c r="H24" s="4"/>
      <c r="I24" s="4"/>
      <c r="J24" s="4"/>
      <c r="K24" s="4"/>
      <c r="L24" s="4"/>
      <c r="M24" s="4"/>
      <c r="N24" s="4"/>
      <c r="O24" s="4"/>
      <c r="P24" s="4"/>
      <c r="Q24" s="20" t="str">
        <f t="shared" si="0"/>
        <v/>
      </c>
      <c r="R24" s="5"/>
      <c r="S24" s="2"/>
    </row>
    <row r="25" spans="1:19" ht="31" outlineLevel="1" x14ac:dyDescent="0.4">
      <c r="A25" s="17" t="str">
        <f>IF(AND(D25="",D25=""),"",$D$3&amp;"_"&amp;ROW()-11-COUNTBLANK($D$12:D25))</f>
        <v>Register_11</v>
      </c>
      <c r="B25" s="26" t="s">
        <v>313</v>
      </c>
      <c r="C25" s="21" t="s">
        <v>314</v>
      </c>
      <c r="D25" s="27" t="s">
        <v>315</v>
      </c>
      <c r="E25" s="19"/>
      <c r="F25" s="19"/>
      <c r="G25" s="19"/>
      <c r="H25" s="4"/>
      <c r="I25" s="4"/>
      <c r="J25" s="4"/>
      <c r="K25" s="4"/>
      <c r="L25" s="4"/>
      <c r="M25" s="4"/>
      <c r="N25" s="4"/>
      <c r="O25" s="4"/>
      <c r="P25" s="4"/>
      <c r="Q25" s="20" t="str">
        <f t="shared" si="0"/>
        <v/>
      </c>
      <c r="R25" s="5"/>
      <c r="S25" s="2"/>
    </row>
    <row r="26" spans="1:19" ht="31" outlineLevel="1" x14ac:dyDescent="0.4">
      <c r="A26" s="17" t="str">
        <f>IF(AND(D26="",D26=""),"",$D$3&amp;"_"&amp;ROW()-11-COUNTBLANK($D$12:D26))</f>
        <v>Register_12</v>
      </c>
      <c r="B26" s="26" t="s">
        <v>316</v>
      </c>
      <c r="C26" s="21" t="s">
        <v>314</v>
      </c>
      <c r="D26" s="27" t="s">
        <v>317</v>
      </c>
      <c r="E26" s="19"/>
      <c r="F26" s="19"/>
      <c r="G26" s="19"/>
      <c r="H26" s="4"/>
      <c r="I26" s="4"/>
      <c r="J26" s="4"/>
      <c r="K26" s="4"/>
      <c r="L26" s="4"/>
      <c r="M26" s="4"/>
      <c r="N26" s="4"/>
      <c r="O26" s="4"/>
      <c r="P26" s="4"/>
      <c r="Q26" s="20"/>
      <c r="R26" s="5"/>
      <c r="S26" s="2"/>
    </row>
    <row r="27" spans="1:19" outlineLevel="1" x14ac:dyDescent="0.4">
      <c r="A27" s="17"/>
      <c r="B27" s="26"/>
      <c r="C27" s="21"/>
      <c r="D27" s="27"/>
      <c r="E27" s="19"/>
      <c r="F27" s="19"/>
      <c r="G27" s="19"/>
      <c r="H27" s="4"/>
      <c r="I27" s="4"/>
      <c r="J27" s="4"/>
      <c r="K27" s="4"/>
      <c r="L27" s="4"/>
      <c r="M27" s="4"/>
      <c r="N27" s="4"/>
      <c r="O27" s="4"/>
      <c r="P27" s="4"/>
      <c r="Q27" s="20"/>
      <c r="R27" s="5"/>
      <c r="S27" s="2"/>
    </row>
    <row r="28" spans="1:19" x14ac:dyDescent="0.4">
      <c r="A28" s="17" t="str">
        <f>IF(AND(D28="",D28=""),"",$D$3&amp;"_"&amp;ROW()-11-COUNTBLANK($D$12:D28))</f>
        <v/>
      </c>
      <c r="B28" s="25" t="s">
        <v>318</v>
      </c>
      <c r="C28" s="25"/>
      <c r="D28" s="25"/>
      <c r="E28" s="19"/>
      <c r="F28" s="19"/>
      <c r="G28" s="19"/>
      <c r="H28" s="4"/>
      <c r="I28" s="4"/>
      <c r="J28" s="4"/>
      <c r="K28" s="4"/>
      <c r="L28" s="4"/>
      <c r="M28" s="4"/>
      <c r="N28" s="4"/>
      <c r="O28" s="4"/>
      <c r="P28" s="4"/>
      <c r="Q28" s="20" t="str">
        <f t="shared" si="0"/>
        <v/>
      </c>
      <c r="R28" s="5"/>
      <c r="S28" s="2"/>
    </row>
    <row r="29" spans="1:19" ht="31" outlineLevel="1" x14ac:dyDescent="0.4">
      <c r="A29" s="17" t="str">
        <f>IF(AND(D29="",D29=""),"",$D$3&amp;"_"&amp;ROW()-11-COUNTBLANK($D$12:D29))</f>
        <v>Register_13</v>
      </c>
      <c r="B29" s="24" t="s">
        <v>45</v>
      </c>
      <c r="C29" s="21" t="s">
        <v>319</v>
      </c>
      <c r="D29" s="55" t="s">
        <v>305</v>
      </c>
      <c r="E29" s="19"/>
      <c r="F29" s="19"/>
      <c r="G29" s="19"/>
      <c r="H29" s="4"/>
      <c r="I29" s="4"/>
      <c r="J29" s="4"/>
      <c r="K29" s="4"/>
      <c r="L29" s="4"/>
      <c r="M29" s="4"/>
      <c r="N29" s="4"/>
      <c r="O29" s="4"/>
      <c r="P29" s="4"/>
      <c r="Q29" s="20"/>
      <c r="R29" s="5"/>
      <c r="S29" s="2"/>
    </row>
    <row r="30" spans="1:19" ht="31" outlineLevel="1" x14ac:dyDescent="0.4">
      <c r="A30" s="17" t="str">
        <f>IF(AND(D30="",D30=""),"",$D$3&amp;"_"&amp;ROW()-11-COUNTBLANK($D$12:D30))</f>
        <v>Register_14</v>
      </c>
      <c r="B30" s="56" t="s">
        <v>61</v>
      </c>
      <c r="C30" s="21" t="s">
        <v>320</v>
      </c>
      <c r="D30" s="24" t="s">
        <v>321</v>
      </c>
      <c r="E30" s="19"/>
      <c r="F30" s="19"/>
      <c r="G30" s="19"/>
      <c r="H30" s="4"/>
      <c r="I30" s="4"/>
      <c r="J30" s="4"/>
      <c r="K30" s="4"/>
      <c r="L30" s="4"/>
      <c r="M30" s="4"/>
      <c r="N30" s="4"/>
      <c r="O30" s="4"/>
      <c r="P30" s="4"/>
      <c r="Q30" s="20" t="str">
        <f t="shared" si="0"/>
        <v/>
      </c>
      <c r="R30" s="5"/>
      <c r="S30" s="2"/>
    </row>
    <row r="31" spans="1:19" outlineLevel="1" x14ac:dyDescent="0.4">
      <c r="A31" s="17"/>
      <c r="B31" s="56"/>
      <c r="C31" s="21" t="s">
        <v>322</v>
      </c>
      <c r="D31" s="24" t="s">
        <v>323</v>
      </c>
      <c r="E31" s="19"/>
      <c r="F31" s="19"/>
      <c r="G31" s="19"/>
      <c r="H31" s="4"/>
      <c r="I31" s="4"/>
      <c r="J31" s="4"/>
      <c r="K31" s="4"/>
      <c r="L31" s="4"/>
      <c r="M31" s="4"/>
      <c r="N31" s="4"/>
      <c r="O31" s="4"/>
      <c r="P31" s="4"/>
      <c r="Q31" s="20"/>
      <c r="R31" s="5"/>
      <c r="S31" s="2"/>
    </row>
    <row r="32" spans="1:19" ht="31" outlineLevel="1" x14ac:dyDescent="0.4">
      <c r="A32" s="17" t="str">
        <f>IF(AND(D32="",D32=""),"",$D$3&amp;"_"&amp;ROW()-11-COUNTBLANK($D$12:D32))</f>
        <v>Register_16</v>
      </c>
      <c r="B32" s="26" t="s">
        <v>309</v>
      </c>
      <c r="C32" s="21" t="s">
        <v>310</v>
      </c>
      <c r="D32" s="27" t="s">
        <v>66</v>
      </c>
      <c r="E32" s="19"/>
      <c r="F32" s="19"/>
      <c r="G32" s="19"/>
      <c r="H32" s="4"/>
      <c r="I32" s="4"/>
      <c r="J32" s="4"/>
      <c r="K32" s="4"/>
      <c r="L32" s="4"/>
      <c r="M32" s="4"/>
      <c r="N32" s="4"/>
      <c r="O32" s="4"/>
      <c r="P32" s="4"/>
      <c r="Q32" s="20" t="str">
        <f t="shared" si="0"/>
        <v/>
      </c>
      <c r="R32" s="5"/>
      <c r="S32" s="2"/>
    </row>
    <row r="33" spans="1:19" ht="46.5" outlineLevel="1" x14ac:dyDescent="0.4">
      <c r="A33" s="17" t="str">
        <f>IF(AND(D33="",D33=""),"",$D$3&amp;"_"&amp;ROW()-11-COUNTBLANK($D$12:D33))</f>
        <v>Register_17</v>
      </c>
      <c r="B33" s="26" t="s">
        <v>311</v>
      </c>
      <c r="C33" s="21" t="s">
        <v>312</v>
      </c>
      <c r="D33" s="27" t="s">
        <v>66</v>
      </c>
      <c r="E33" s="19"/>
      <c r="F33" s="19"/>
      <c r="G33" s="19"/>
      <c r="H33" s="4"/>
      <c r="I33" s="4"/>
      <c r="J33" s="4"/>
      <c r="K33" s="4"/>
      <c r="L33" s="4"/>
      <c r="M33" s="4"/>
      <c r="N33" s="4"/>
      <c r="O33" s="4"/>
      <c r="P33" s="4"/>
      <c r="Q33" s="20" t="str">
        <f t="shared" si="0"/>
        <v/>
      </c>
      <c r="R33" s="5"/>
      <c r="S33" s="2"/>
    </row>
    <row r="34" spans="1:19" ht="31" outlineLevel="1" x14ac:dyDescent="0.4">
      <c r="A34" s="17" t="str">
        <f>IF(AND(D34="",D34=""),"",$D$3&amp;"_"&amp;ROW()-11-COUNTBLANK($D$12:D34))</f>
        <v>Register_18</v>
      </c>
      <c r="B34" s="26" t="s">
        <v>313</v>
      </c>
      <c r="C34" s="21" t="s">
        <v>324</v>
      </c>
      <c r="D34" s="27" t="s">
        <v>315</v>
      </c>
      <c r="E34" s="19"/>
      <c r="F34" s="19"/>
      <c r="G34" s="19"/>
      <c r="H34" s="4"/>
      <c r="I34" s="4"/>
      <c r="J34" s="4"/>
      <c r="K34" s="4"/>
      <c r="L34" s="4"/>
      <c r="M34" s="4"/>
      <c r="N34" s="4"/>
      <c r="O34" s="4"/>
      <c r="P34" s="4"/>
      <c r="Q34" s="20" t="str">
        <f t="shared" si="0"/>
        <v/>
      </c>
      <c r="R34" s="5"/>
      <c r="S34" s="2"/>
    </row>
    <row r="35" spans="1:19" ht="31" outlineLevel="1" x14ac:dyDescent="0.4">
      <c r="A35" s="17"/>
      <c r="B35" s="26" t="s">
        <v>316</v>
      </c>
      <c r="C35" s="21" t="s">
        <v>324</v>
      </c>
      <c r="D35" s="27" t="s">
        <v>317</v>
      </c>
      <c r="E35" s="19"/>
      <c r="F35" s="19"/>
      <c r="G35" s="19"/>
      <c r="H35" s="4"/>
      <c r="I35" s="4"/>
      <c r="J35" s="4"/>
      <c r="K35" s="4"/>
      <c r="L35" s="4"/>
      <c r="M35" s="4"/>
      <c r="N35" s="4"/>
      <c r="O35" s="4"/>
      <c r="P35" s="4"/>
      <c r="Q35" s="20"/>
      <c r="R35" s="5"/>
      <c r="S35" s="2"/>
    </row>
    <row r="36" spans="1:19" ht="31" outlineLevel="1" x14ac:dyDescent="0.4">
      <c r="A36" s="17"/>
      <c r="B36" s="26" t="s">
        <v>42</v>
      </c>
      <c r="C36" s="21" t="s">
        <v>325</v>
      </c>
      <c r="D36" s="27" t="s">
        <v>326</v>
      </c>
      <c r="E36" s="19"/>
      <c r="F36" s="19"/>
      <c r="G36" s="19"/>
      <c r="H36" s="4"/>
      <c r="I36" s="4"/>
      <c r="J36" s="4"/>
      <c r="K36" s="4"/>
      <c r="L36" s="4"/>
      <c r="M36" s="4"/>
      <c r="N36" s="4"/>
      <c r="O36" s="4"/>
      <c r="P36" s="4"/>
      <c r="Q36" s="20"/>
      <c r="R36" s="5"/>
      <c r="S36" s="2"/>
    </row>
    <row r="37" spans="1:19" outlineLevel="1" x14ac:dyDescent="0.4">
      <c r="A37" s="17" t="str">
        <f>IF(AND(D37="",D37=""),"",$D$3&amp;"_"&amp;ROW()-11-COUNTBLANK($D$12:D37))</f>
        <v/>
      </c>
      <c r="B37" s="26"/>
      <c r="C37" s="21"/>
      <c r="D37" s="27"/>
      <c r="E37" s="19"/>
      <c r="F37" s="19"/>
      <c r="G37" s="19"/>
      <c r="H37" s="4"/>
      <c r="I37" s="4"/>
      <c r="J37" s="4"/>
      <c r="K37" s="4"/>
      <c r="L37" s="4"/>
      <c r="M37" s="4"/>
      <c r="N37" s="4"/>
      <c r="O37" s="4"/>
      <c r="P37" s="4"/>
      <c r="Q37" s="20" t="str">
        <f t="shared" si="0"/>
        <v/>
      </c>
      <c r="R37" s="5"/>
      <c r="S37" s="2"/>
    </row>
    <row r="38" spans="1:19" x14ac:dyDescent="0.4">
      <c r="A38" s="17" t="str">
        <f>IF(AND(D38="",D38=""),"",$D$3&amp;"_"&amp;ROW()-11-COUNTBLANK($D$12:D38))</f>
        <v/>
      </c>
      <c r="B38" s="25" t="s">
        <v>327</v>
      </c>
      <c r="C38" s="25"/>
      <c r="D38" s="25"/>
      <c r="E38" s="19"/>
      <c r="F38" s="19"/>
      <c r="G38" s="19"/>
      <c r="H38" s="4"/>
      <c r="I38" s="4"/>
      <c r="J38" s="4"/>
      <c r="K38" s="4"/>
      <c r="L38" s="4"/>
      <c r="M38" s="4"/>
      <c r="N38" s="4"/>
      <c r="O38" s="4"/>
      <c r="P38" s="4"/>
      <c r="Q38" s="20" t="str">
        <f t="shared" si="0"/>
        <v/>
      </c>
      <c r="R38" s="5"/>
      <c r="S38" s="2"/>
    </row>
    <row r="39" spans="1:19" ht="31" outlineLevel="1" x14ac:dyDescent="0.4">
      <c r="A39" s="17" t="str">
        <f>IF(AND(D39="",D39=""),"",$D$3&amp;"_"&amp;ROW()-11-COUNTBLANK($D$12:D39))</f>
        <v>Register_21</v>
      </c>
      <c r="B39" s="24" t="s">
        <v>42</v>
      </c>
      <c r="C39" s="21" t="s">
        <v>295</v>
      </c>
      <c r="D39" s="27" t="s">
        <v>206</v>
      </c>
      <c r="E39" s="19"/>
      <c r="F39" s="19"/>
      <c r="G39" s="19"/>
      <c r="H39" s="4"/>
      <c r="I39" s="4"/>
      <c r="J39" s="4"/>
      <c r="K39" s="4"/>
      <c r="L39" s="4"/>
      <c r="M39" s="4"/>
      <c r="N39" s="4"/>
      <c r="O39" s="4"/>
      <c r="P39" s="4"/>
      <c r="Q39" s="20" t="str">
        <f t="shared" si="0"/>
        <v/>
      </c>
      <c r="R39" s="5"/>
      <c r="S39" s="2"/>
    </row>
    <row r="40" spans="1:19" ht="31" outlineLevel="1" x14ac:dyDescent="0.4">
      <c r="A40" s="17" t="str">
        <f>IF(AND(D40="",D40=""),"",$D$3&amp;"_"&amp;ROW()-11-COUNTBLANK($D$12:D40))</f>
        <v>Register_22</v>
      </c>
      <c r="B40" s="26" t="s">
        <v>45</v>
      </c>
      <c r="C40" s="21" t="s">
        <v>328</v>
      </c>
      <c r="D40" s="27" t="s">
        <v>305</v>
      </c>
      <c r="E40" s="19"/>
      <c r="F40" s="19"/>
      <c r="G40" s="19"/>
      <c r="H40" s="4"/>
      <c r="I40" s="4"/>
      <c r="J40" s="4"/>
      <c r="K40" s="4"/>
      <c r="L40" s="4"/>
      <c r="M40" s="4"/>
      <c r="N40" s="4"/>
      <c r="O40" s="4"/>
      <c r="P40" s="4"/>
      <c r="Q40" s="20" t="str">
        <f t="shared" si="0"/>
        <v/>
      </c>
      <c r="R40" s="5"/>
      <c r="S40" s="2"/>
    </row>
    <row r="41" spans="1:19" ht="46.5" outlineLevel="1" x14ac:dyDescent="0.4">
      <c r="A41" s="17" t="str">
        <f>IF(AND(D41="",D41=""),"",$D$3&amp;"_"&amp;ROW()-11-COUNTBLANK($D$12:D41))</f>
        <v>Register_23</v>
      </c>
      <c r="B41" s="57" t="s">
        <v>48</v>
      </c>
      <c r="C41" s="31" t="s">
        <v>329</v>
      </c>
      <c r="D41" s="31" t="s">
        <v>52</v>
      </c>
      <c r="E41" s="19"/>
      <c r="F41" s="19"/>
      <c r="G41" s="19"/>
      <c r="H41" s="4"/>
      <c r="I41" s="4"/>
      <c r="J41" s="4"/>
      <c r="K41" s="4"/>
      <c r="L41" s="4"/>
      <c r="M41" s="4"/>
      <c r="N41" s="4"/>
      <c r="O41" s="4"/>
      <c r="P41" s="4"/>
      <c r="Q41" s="20" t="str">
        <f t="shared" si="0"/>
        <v/>
      </c>
      <c r="R41" s="5"/>
      <c r="S41" s="2"/>
    </row>
    <row r="42" spans="1:19" ht="31" outlineLevel="1" x14ac:dyDescent="0.4">
      <c r="A42" s="17"/>
      <c r="B42" s="57"/>
      <c r="C42" s="31" t="s">
        <v>291</v>
      </c>
      <c r="D42" s="31" t="s">
        <v>52</v>
      </c>
      <c r="E42" s="19"/>
      <c r="F42" s="19"/>
      <c r="G42" s="19"/>
      <c r="H42" s="4"/>
      <c r="I42" s="4"/>
      <c r="J42" s="4"/>
      <c r="K42" s="4"/>
      <c r="L42" s="4"/>
      <c r="M42" s="4"/>
      <c r="N42" s="4"/>
      <c r="O42" s="4"/>
      <c r="P42" s="4"/>
      <c r="Q42" s="20"/>
      <c r="R42" s="5"/>
      <c r="S42" s="2"/>
    </row>
    <row r="43" spans="1:19" ht="31" outlineLevel="1" x14ac:dyDescent="0.4">
      <c r="A43" s="17"/>
      <c r="B43" s="57"/>
      <c r="C43" s="31" t="s">
        <v>292</v>
      </c>
      <c r="D43" s="31" t="s">
        <v>52</v>
      </c>
      <c r="E43" s="19"/>
      <c r="F43" s="19"/>
      <c r="G43" s="19"/>
      <c r="H43" s="4"/>
      <c r="I43" s="4"/>
      <c r="J43" s="4"/>
      <c r="K43" s="4"/>
      <c r="L43" s="4"/>
      <c r="M43" s="4"/>
      <c r="N43" s="4"/>
      <c r="O43" s="4"/>
      <c r="P43" s="4"/>
      <c r="Q43" s="20"/>
      <c r="R43" s="5"/>
      <c r="S43" s="2"/>
    </row>
    <row r="44" spans="1:19" ht="31" outlineLevel="1" x14ac:dyDescent="0.4">
      <c r="A44" s="17" t="str">
        <f>IF(AND(D44="",D44=""),"",$D$3&amp;"_"&amp;ROW()-11-COUNTBLANK($D$12:D44))</f>
        <v>Register_26</v>
      </c>
      <c r="B44" s="57"/>
      <c r="C44" s="31" t="s">
        <v>293</v>
      </c>
      <c r="D44" s="31" t="s">
        <v>213</v>
      </c>
      <c r="E44" s="19"/>
      <c r="F44" s="19"/>
      <c r="G44" s="19"/>
      <c r="H44" s="4"/>
      <c r="I44" s="4"/>
      <c r="J44" s="4"/>
      <c r="K44" s="4"/>
      <c r="L44" s="4"/>
      <c r="M44" s="4"/>
      <c r="N44" s="4"/>
      <c r="O44" s="4"/>
      <c r="P44" s="4"/>
      <c r="Q44" s="20" t="str">
        <f t="shared" si="0"/>
        <v/>
      </c>
      <c r="R44" s="5"/>
      <c r="S44" s="2"/>
    </row>
    <row r="45" spans="1:19" ht="31" outlineLevel="1" x14ac:dyDescent="0.4">
      <c r="A45" s="17" t="str">
        <f>IF(AND(D46="",D46=""),"",$D$3&amp;"_"&amp;ROW()-11-COUNTBLANK($D$12:D46))</f>
        <v>Register_27</v>
      </c>
      <c r="B45" s="57"/>
      <c r="C45" s="31" t="s">
        <v>330</v>
      </c>
      <c r="D45" s="31" t="s">
        <v>213</v>
      </c>
      <c r="E45" s="19"/>
      <c r="F45" s="19"/>
      <c r="G45" s="19"/>
      <c r="H45" s="4"/>
      <c r="I45" s="4"/>
      <c r="J45" s="4"/>
      <c r="K45" s="4"/>
      <c r="L45" s="4"/>
      <c r="M45" s="4"/>
      <c r="N45" s="4"/>
      <c r="O45" s="4"/>
      <c r="P45" s="4"/>
      <c r="Q45" s="20" t="str">
        <f t="shared" si="0"/>
        <v/>
      </c>
      <c r="R45" s="5"/>
      <c r="S45" s="2"/>
    </row>
    <row r="46" spans="1:19" outlineLevel="1" x14ac:dyDescent="0.4">
      <c r="A46" s="17" t="str">
        <f>IF(AND(D47="",D47=""),"",$D$3&amp;"_"&amp;ROW()-11-COUNTBLANK($D$12:D47))</f>
        <v>Register_28</v>
      </c>
      <c r="B46" s="56" t="s">
        <v>55</v>
      </c>
      <c r="C46" s="21" t="s">
        <v>331</v>
      </c>
      <c r="D46" s="27" t="s">
        <v>332</v>
      </c>
      <c r="E46" s="19"/>
      <c r="F46" s="19"/>
      <c r="G46" s="19"/>
      <c r="H46" s="4"/>
      <c r="I46" s="4"/>
      <c r="J46" s="4"/>
      <c r="K46" s="4"/>
      <c r="L46" s="4"/>
      <c r="M46" s="4"/>
      <c r="N46" s="4"/>
      <c r="O46" s="4"/>
      <c r="P46" s="4"/>
      <c r="Q46" s="20" t="str">
        <f t="shared" si="0"/>
        <v/>
      </c>
      <c r="R46" s="5"/>
      <c r="S46" s="2"/>
    </row>
    <row r="47" spans="1:19" outlineLevel="1" x14ac:dyDescent="0.4">
      <c r="A47" s="17" t="str">
        <f>IF(AND(D48="",D48=""),"",$D$3&amp;"_"&amp;ROW()-11-COUNTBLANK($D$12:D48))</f>
        <v>Register_29</v>
      </c>
      <c r="B47" s="56"/>
      <c r="C47" s="21" t="s">
        <v>333</v>
      </c>
      <c r="D47" s="27" t="s">
        <v>334</v>
      </c>
      <c r="E47" s="19"/>
      <c r="F47" s="19"/>
      <c r="G47" s="19"/>
      <c r="H47" s="4"/>
      <c r="I47" s="4"/>
      <c r="J47" s="4"/>
      <c r="K47" s="4"/>
      <c r="L47" s="4"/>
      <c r="M47" s="4"/>
      <c r="N47" s="4"/>
      <c r="O47" s="4"/>
      <c r="P47" s="4"/>
      <c r="Q47" s="20" t="str">
        <f t="shared" si="0"/>
        <v/>
      </c>
      <c r="R47" s="5"/>
      <c r="S47" s="2"/>
    </row>
    <row r="48" spans="1:19" outlineLevel="1" x14ac:dyDescent="0.4">
      <c r="A48" s="17" t="str">
        <f>IF(AND(D49="",D49=""),"",$D$3&amp;"_"&amp;ROW()-11-COUNTBLANK($D$12:D49))</f>
        <v>Register_30</v>
      </c>
      <c r="B48" s="56"/>
      <c r="C48" s="21" t="s">
        <v>335</v>
      </c>
      <c r="D48" s="27" t="s">
        <v>334</v>
      </c>
      <c r="E48" s="19"/>
      <c r="F48" s="19"/>
      <c r="G48" s="19"/>
      <c r="H48" s="4"/>
      <c r="I48" s="4"/>
      <c r="J48" s="4"/>
      <c r="K48" s="4"/>
      <c r="L48" s="4"/>
      <c r="M48" s="4"/>
      <c r="N48" s="4"/>
      <c r="O48" s="4"/>
      <c r="P48" s="4"/>
      <c r="Q48" s="20" t="str">
        <f t="shared" si="0"/>
        <v/>
      </c>
      <c r="R48" s="5"/>
      <c r="S48" s="2"/>
    </row>
    <row r="49" spans="1:19" outlineLevel="1" x14ac:dyDescent="0.4">
      <c r="A49" s="17" t="str">
        <f>IF(AND(D50="",D50=""),"",$D$3&amp;"_"&amp;ROW()-11-COUNTBLANK($D$12:D50))</f>
        <v>Register_31</v>
      </c>
      <c r="B49" s="56"/>
      <c r="C49" s="21" t="s">
        <v>336</v>
      </c>
      <c r="D49" s="27" t="s">
        <v>334</v>
      </c>
      <c r="E49" s="19"/>
      <c r="F49" s="19"/>
      <c r="G49" s="19"/>
      <c r="H49" s="4"/>
      <c r="I49" s="4"/>
      <c r="J49" s="4"/>
      <c r="K49" s="4"/>
      <c r="L49" s="4"/>
      <c r="M49" s="4"/>
      <c r="N49" s="4"/>
      <c r="O49" s="4"/>
      <c r="P49" s="4"/>
      <c r="Q49" s="20" t="str">
        <f t="shared" si="0"/>
        <v/>
      </c>
      <c r="R49" s="5"/>
      <c r="S49" s="2"/>
    </row>
    <row r="50" spans="1:19" outlineLevel="1" x14ac:dyDescent="0.4">
      <c r="A50" s="17" t="e">
        <f>IF(AND(#REF!="",#REF!=""),"",$D$3&amp;"_"&amp;ROW()-11-COUNTBLANK($D$12:D50))</f>
        <v>#REF!</v>
      </c>
      <c r="B50" s="56"/>
      <c r="C50" s="21" t="s">
        <v>337</v>
      </c>
      <c r="D50" s="27" t="s">
        <v>338</v>
      </c>
      <c r="E50" s="19"/>
      <c r="F50" s="19"/>
      <c r="G50" s="19"/>
      <c r="H50" s="4"/>
      <c r="I50" s="4"/>
      <c r="J50" s="4"/>
      <c r="K50" s="4"/>
      <c r="L50" s="4"/>
      <c r="M50" s="4"/>
      <c r="N50" s="4"/>
      <c r="O50" s="4"/>
      <c r="P50" s="4"/>
      <c r="Q50" s="20" t="str">
        <f t="shared" si="0"/>
        <v/>
      </c>
      <c r="R50" s="5"/>
      <c r="S50" s="2"/>
    </row>
    <row r="51" spans="1:19" outlineLevel="1" x14ac:dyDescent="0.4">
      <c r="A51" s="17" t="str">
        <f>IF(AND(D51="",D51=""),"",$D$3&amp;"_"&amp;ROW()-11-COUNTBLANK($D$12:D51))</f>
        <v/>
      </c>
      <c r="B51" s="26"/>
      <c r="C51" s="21"/>
      <c r="D51" s="27"/>
      <c r="E51" s="19"/>
      <c r="F51" s="19"/>
      <c r="G51" s="19"/>
      <c r="H51" s="4"/>
      <c r="I51" s="4"/>
      <c r="J51" s="4"/>
      <c r="K51" s="4"/>
      <c r="L51" s="4"/>
      <c r="M51" s="4"/>
      <c r="N51" s="4"/>
      <c r="O51" s="4"/>
      <c r="P51" s="4"/>
      <c r="Q51" s="20" t="str">
        <f t="shared" si="0"/>
        <v/>
      </c>
      <c r="R51" s="5"/>
      <c r="S51" s="2"/>
    </row>
    <row r="52" spans="1:19" x14ac:dyDescent="0.4">
      <c r="A52" s="17" t="str">
        <f>IF(AND(D52="",D52=""),"",$D$3&amp;"_"&amp;ROW()-11-COUNTBLANK($D$12:D52))</f>
        <v/>
      </c>
      <c r="B52" s="25" t="s">
        <v>339</v>
      </c>
      <c r="C52" s="25"/>
      <c r="D52" s="25"/>
      <c r="E52" s="19"/>
      <c r="F52" s="19"/>
      <c r="G52" s="19"/>
      <c r="H52" s="4"/>
      <c r="I52" s="4"/>
      <c r="J52" s="4"/>
      <c r="K52" s="4"/>
      <c r="L52" s="4"/>
      <c r="M52" s="4"/>
      <c r="N52" s="4"/>
      <c r="O52" s="4"/>
      <c r="P52" s="4"/>
      <c r="Q52" s="20" t="str">
        <f t="shared" si="0"/>
        <v/>
      </c>
      <c r="R52" s="5"/>
      <c r="S52" s="2"/>
    </row>
    <row r="53" spans="1:19" ht="31" outlineLevel="1" x14ac:dyDescent="0.4">
      <c r="A53" s="17" t="str">
        <f>IF(AND(D53="",D53=""),"",$D$3&amp;"_"&amp;ROW()-11-COUNTBLANK($D$12:D53))</f>
        <v>Register_33</v>
      </c>
      <c r="B53" s="24" t="s">
        <v>42</v>
      </c>
      <c r="C53" s="21" t="s">
        <v>295</v>
      </c>
      <c r="D53" s="27" t="s">
        <v>206</v>
      </c>
      <c r="E53" s="19"/>
      <c r="F53" s="19"/>
      <c r="G53" s="19"/>
      <c r="H53" s="4"/>
      <c r="I53" s="4"/>
      <c r="J53" s="4"/>
      <c r="K53" s="4"/>
      <c r="L53" s="4"/>
      <c r="M53" s="4"/>
      <c r="N53" s="4"/>
      <c r="O53" s="4"/>
      <c r="P53" s="4"/>
      <c r="Q53" s="20" t="str">
        <f t="shared" si="0"/>
        <v/>
      </c>
      <c r="R53" s="5"/>
      <c r="S53" s="2"/>
    </row>
    <row r="54" spans="1:19" ht="31" outlineLevel="1" x14ac:dyDescent="0.4">
      <c r="A54" s="17" t="str">
        <f>IF(AND(D54="",D54=""),"",$D$3&amp;"_"&amp;ROW()-11-COUNTBLANK($D$12:D54))</f>
        <v>Register_34</v>
      </c>
      <c r="B54" s="26" t="s">
        <v>45</v>
      </c>
      <c r="C54" s="21" t="s">
        <v>328</v>
      </c>
      <c r="D54" s="27" t="s">
        <v>305</v>
      </c>
      <c r="E54" s="19"/>
      <c r="F54" s="19"/>
      <c r="G54" s="19"/>
      <c r="H54" s="4"/>
      <c r="I54" s="4"/>
      <c r="J54" s="4"/>
      <c r="K54" s="4"/>
      <c r="L54" s="4"/>
      <c r="M54" s="4"/>
      <c r="N54" s="4"/>
      <c r="O54" s="4"/>
      <c r="P54" s="4"/>
      <c r="Q54" s="20" t="str">
        <f t="shared" si="0"/>
        <v/>
      </c>
      <c r="R54" s="5"/>
      <c r="S54" s="2"/>
    </row>
    <row r="55" spans="1:19" ht="46.5" outlineLevel="1" x14ac:dyDescent="0.4">
      <c r="A55" s="17" t="str">
        <f>IF(AND(D55="",D55=""),"",$D$3&amp;"_"&amp;ROW()-11-COUNTBLANK($D$12:D55))</f>
        <v>Register_35</v>
      </c>
      <c r="B55" s="57" t="s">
        <v>48</v>
      </c>
      <c r="C55" s="31" t="s">
        <v>329</v>
      </c>
      <c r="D55" s="31" t="s">
        <v>52</v>
      </c>
      <c r="E55" s="19"/>
      <c r="F55" s="19"/>
      <c r="G55" s="19"/>
      <c r="H55" s="4"/>
      <c r="I55" s="4"/>
      <c r="J55" s="4"/>
      <c r="K55" s="4"/>
      <c r="L55" s="4"/>
      <c r="M55" s="4"/>
      <c r="N55" s="4"/>
      <c r="O55" s="4"/>
      <c r="P55" s="4"/>
      <c r="Q55" s="20" t="str">
        <f t="shared" si="0"/>
        <v/>
      </c>
      <c r="R55" s="5"/>
      <c r="S55" s="2"/>
    </row>
    <row r="56" spans="1:19" ht="31" outlineLevel="1" x14ac:dyDescent="0.4">
      <c r="A56" s="17"/>
      <c r="B56" s="57"/>
      <c r="C56" s="31" t="s">
        <v>291</v>
      </c>
      <c r="D56" s="31" t="s">
        <v>52</v>
      </c>
      <c r="E56" s="19"/>
      <c r="F56" s="19"/>
      <c r="G56" s="19"/>
      <c r="H56" s="4"/>
      <c r="I56" s="4"/>
      <c r="J56" s="4"/>
      <c r="K56" s="4"/>
      <c r="L56" s="4"/>
      <c r="M56" s="4"/>
      <c r="N56" s="4"/>
      <c r="O56" s="4"/>
      <c r="P56" s="4"/>
      <c r="Q56" s="20"/>
      <c r="R56" s="5"/>
      <c r="S56" s="2"/>
    </row>
    <row r="57" spans="1:19" ht="31" outlineLevel="1" x14ac:dyDescent="0.4">
      <c r="A57" s="17"/>
      <c r="B57" s="57"/>
      <c r="C57" s="31" t="s">
        <v>292</v>
      </c>
      <c r="D57" s="31" t="s">
        <v>52</v>
      </c>
      <c r="E57" s="19"/>
      <c r="F57" s="19"/>
      <c r="G57" s="19"/>
      <c r="H57" s="4"/>
      <c r="I57" s="4"/>
      <c r="J57" s="4"/>
      <c r="K57" s="4"/>
      <c r="L57" s="4"/>
      <c r="M57" s="4"/>
      <c r="N57" s="4"/>
      <c r="O57" s="4"/>
      <c r="P57" s="4"/>
      <c r="Q57" s="20"/>
      <c r="R57" s="5"/>
      <c r="S57" s="2"/>
    </row>
    <row r="58" spans="1:19" ht="31" outlineLevel="1" x14ac:dyDescent="0.4">
      <c r="A58" s="17" t="str">
        <f>IF(AND(D58="",D58=""),"",$D$3&amp;"_"&amp;ROW()-11-COUNTBLANK($D$12:D58))</f>
        <v>Register_38</v>
      </c>
      <c r="B58" s="57"/>
      <c r="C58" s="31" t="s">
        <v>340</v>
      </c>
      <c r="D58" s="31" t="s">
        <v>213</v>
      </c>
      <c r="E58" s="19"/>
      <c r="F58" s="19"/>
      <c r="G58" s="19"/>
      <c r="H58" s="4"/>
      <c r="I58" s="4"/>
      <c r="J58" s="4"/>
      <c r="K58" s="4"/>
      <c r="L58" s="4"/>
      <c r="M58" s="4"/>
      <c r="N58" s="4"/>
      <c r="O58" s="4"/>
      <c r="P58" s="4"/>
      <c r="Q58" s="20" t="str">
        <f t="shared" si="0"/>
        <v/>
      </c>
      <c r="R58" s="5"/>
      <c r="S58" s="2"/>
    </row>
    <row r="59" spans="1:19" ht="31" outlineLevel="1" x14ac:dyDescent="0.4">
      <c r="A59" s="17"/>
      <c r="B59" s="57"/>
      <c r="C59" s="31" t="s">
        <v>341</v>
      </c>
      <c r="D59" s="31" t="s">
        <v>213</v>
      </c>
      <c r="E59" s="19"/>
      <c r="F59" s="19"/>
      <c r="G59" s="19"/>
      <c r="H59" s="4"/>
      <c r="I59" s="4"/>
      <c r="J59" s="4"/>
      <c r="K59" s="4"/>
      <c r="L59" s="4"/>
      <c r="M59" s="4"/>
      <c r="N59" s="4"/>
      <c r="O59" s="4"/>
      <c r="P59" s="4"/>
      <c r="Q59" s="20"/>
      <c r="R59" s="5"/>
      <c r="S59" s="2"/>
    </row>
    <row r="60" spans="1:19" ht="31" outlineLevel="1" x14ac:dyDescent="0.4">
      <c r="A60" s="17" t="str">
        <f>IF(AND(D60="",D60=""),"",$D$3&amp;"_"&amp;ROW()-11-COUNTBLANK($D$12:D60))</f>
        <v>Register_40</v>
      </c>
      <c r="B60" s="24" t="s">
        <v>232</v>
      </c>
      <c r="C60" s="21" t="s">
        <v>342</v>
      </c>
      <c r="D60" s="27" t="s">
        <v>343</v>
      </c>
      <c r="E60" s="19"/>
      <c r="F60" s="19"/>
      <c r="G60" s="19"/>
      <c r="H60" s="4"/>
      <c r="I60" s="4"/>
      <c r="J60" s="4"/>
      <c r="K60" s="4"/>
      <c r="L60" s="4"/>
      <c r="M60" s="4"/>
      <c r="N60" s="4"/>
      <c r="O60" s="4"/>
      <c r="P60" s="4"/>
      <c r="Q60" s="20" t="str">
        <f t="shared" si="0"/>
        <v/>
      </c>
      <c r="R60" s="5"/>
      <c r="S60" s="2"/>
    </row>
    <row r="61" spans="1:19" outlineLevel="1" x14ac:dyDescent="0.4">
      <c r="A61" s="17" t="str">
        <f>IF(AND(D61="",D61=""),"",$D$3&amp;"_"&amp;ROW()-11-COUNTBLANK($D$12:D61))</f>
        <v>Register_41</v>
      </c>
      <c r="B61" s="56" t="s">
        <v>55</v>
      </c>
      <c r="C61" s="21" t="s">
        <v>344</v>
      </c>
      <c r="D61" s="27" t="s">
        <v>332</v>
      </c>
      <c r="E61" s="19"/>
      <c r="F61" s="19"/>
      <c r="G61" s="19"/>
      <c r="H61" s="4"/>
      <c r="I61" s="4"/>
      <c r="J61" s="4"/>
      <c r="K61" s="4"/>
      <c r="L61" s="4"/>
      <c r="M61" s="4"/>
      <c r="N61" s="4"/>
      <c r="O61" s="4"/>
      <c r="P61" s="4"/>
      <c r="Q61" s="20" t="str">
        <f t="shared" si="0"/>
        <v/>
      </c>
      <c r="R61" s="5"/>
      <c r="S61" s="2"/>
    </row>
    <row r="62" spans="1:19" outlineLevel="1" x14ac:dyDescent="0.4">
      <c r="A62" s="17" t="str">
        <f>IF(AND(D62="",D62=""),"",$D$3&amp;"_"&amp;ROW()-11-COUNTBLANK($D$12:D62))</f>
        <v>Register_42</v>
      </c>
      <c r="B62" s="56"/>
      <c r="C62" s="21" t="s">
        <v>345</v>
      </c>
      <c r="D62" s="27" t="s">
        <v>334</v>
      </c>
      <c r="E62" s="19"/>
      <c r="F62" s="19"/>
      <c r="G62" s="19"/>
      <c r="H62" s="4"/>
      <c r="I62" s="4"/>
      <c r="J62" s="4"/>
      <c r="K62" s="4"/>
      <c r="L62" s="4"/>
      <c r="M62" s="4"/>
      <c r="N62" s="4"/>
      <c r="O62" s="4"/>
      <c r="P62" s="4"/>
      <c r="Q62" s="20" t="str">
        <f t="shared" si="0"/>
        <v/>
      </c>
      <c r="R62" s="5"/>
      <c r="S62" s="2"/>
    </row>
    <row r="63" spans="1:19" outlineLevel="1" x14ac:dyDescent="0.4">
      <c r="A63" s="17" t="str">
        <f>IF(AND(D63="",D63=""),"",$D$3&amp;"_"&amp;ROW()-11-COUNTBLANK($D$12:D63))</f>
        <v>Register_43</v>
      </c>
      <c r="B63" s="56"/>
      <c r="C63" s="21" t="s">
        <v>346</v>
      </c>
      <c r="D63" s="27" t="s">
        <v>334</v>
      </c>
      <c r="E63" s="19"/>
      <c r="F63" s="19"/>
      <c r="G63" s="19"/>
      <c r="H63" s="4"/>
      <c r="I63" s="4"/>
      <c r="J63" s="4"/>
      <c r="K63" s="4"/>
      <c r="L63" s="4"/>
      <c r="M63" s="4"/>
      <c r="N63" s="4"/>
      <c r="O63" s="4"/>
      <c r="P63" s="4"/>
      <c r="Q63" s="20" t="str">
        <f t="shared" si="0"/>
        <v/>
      </c>
      <c r="R63" s="5"/>
      <c r="S63" s="2"/>
    </row>
    <row r="64" spans="1:19" outlineLevel="1" x14ac:dyDescent="0.4">
      <c r="A64" s="17" t="str">
        <f>IF(AND(D64="",D64=""),"",$D$3&amp;"_"&amp;ROW()-11-COUNTBLANK($D$12:D64))</f>
        <v>Register_44</v>
      </c>
      <c r="B64" s="56"/>
      <c r="C64" s="21" t="s">
        <v>347</v>
      </c>
      <c r="D64" s="27" t="s">
        <v>334</v>
      </c>
      <c r="E64" s="19"/>
      <c r="F64" s="19"/>
      <c r="G64" s="19"/>
      <c r="H64" s="4"/>
      <c r="I64" s="4"/>
      <c r="J64" s="4"/>
      <c r="K64" s="4"/>
      <c r="L64" s="4"/>
      <c r="M64" s="4"/>
      <c r="N64" s="4"/>
      <c r="O64" s="4"/>
      <c r="P64" s="4"/>
      <c r="Q64" s="20" t="str">
        <f t="shared" si="0"/>
        <v/>
      </c>
      <c r="R64" s="5"/>
      <c r="S64" s="2"/>
    </row>
    <row r="65" spans="1:19" outlineLevel="1" x14ac:dyDescent="0.4">
      <c r="A65" s="17" t="str">
        <f>IF(AND(D65="",D65=""),"",$D$3&amp;"_"&amp;ROW()-11-COUNTBLANK($D$12:D65))</f>
        <v>Register_45</v>
      </c>
      <c r="B65" s="56"/>
      <c r="C65" s="21" t="s">
        <v>348</v>
      </c>
      <c r="D65" s="27" t="s">
        <v>349</v>
      </c>
      <c r="E65" s="19"/>
      <c r="F65" s="19"/>
      <c r="G65" s="19"/>
      <c r="H65" s="4"/>
      <c r="I65" s="4"/>
      <c r="J65" s="4"/>
      <c r="K65" s="4"/>
      <c r="L65" s="4"/>
      <c r="M65" s="4"/>
      <c r="N65" s="4"/>
      <c r="O65" s="4"/>
      <c r="P65" s="4"/>
      <c r="Q65" s="20" t="str">
        <f t="shared" si="0"/>
        <v/>
      </c>
      <c r="R65" s="5"/>
      <c r="S65" s="2"/>
    </row>
    <row r="66" spans="1:19" outlineLevel="1" x14ac:dyDescent="0.4">
      <c r="A66" s="17" t="str">
        <f>IF(AND(D66="",D66=""),"",$D$3&amp;"_"&amp;ROW()-11-COUNTBLANK($D$12:D66))</f>
        <v/>
      </c>
      <c r="B66" s="26"/>
      <c r="C66" s="21"/>
      <c r="D66" s="27"/>
      <c r="E66" s="19"/>
      <c r="F66" s="19"/>
      <c r="G66" s="19"/>
      <c r="H66" s="4"/>
      <c r="I66" s="4"/>
      <c r="J66" s="4"/>
      <c r="K66" s="4"/>
      <c r="L66" s="4"/>
      <c r="M66" s="4"/>
      <c r="N66" s="4"/>
      <c r="O66" s="4"/>
      <c r="P66" s="4"/>
      <c r="Q66" s="20" t="str">
        <f t="shared" si="0"/>
        <v/>
      </c>
      <c r="R66" s="5"/>
      <c r="S66" s="2"/>
    </row>
    <row r="67" spans="1:19" outlineLevel="1" x14ac:dyDescent="0.4">
      <c r="A67" s="17" t="str">
        <f>IF(AND(D67="",D67=""),"",$D$3&amp;"_"&amp;ROW()-11-COUNTBLANK($D$12:D67))</f>
        <v/>
      </c>
      <c r="B67" s="26"/>
      <c r="C67" s="21"/>
      <c r="D67" s="27"/>
      <c r="E67" s="19"/>
      <c r="F67" s="19"/>
      <c r="G67" s="19"/>
      <c r="H67" s="4"/>
      <c r="I67" s="4"/>
      <c r="J67" s="4"/>
      <c r="K67" s="4"/>
      <c r="L67" s="4"/>
      <c r="M67" s="4"/>
      <c r="N67" s="4"/>
      <c r="O67" s="4"/>
      <c r="P67" s="4"/>
      <c r="Q67" s="20" t="str">
        <f t="shared" si="0"/>
        <v/>
      </c>
      <c r="R67" s="5"/>
      <c r="S67" s="2"/>
    </row>
    <row r="68" spans="1:19" x14ac:dyDescent="0.4">
      <c r="A68" s="17" t="str">
        <f>IF(AND(D68="",D68=""),"",$D$3&amp;"_"&amp;ROW()-11-COUNTBLANK($D$12:D68))</f>
        <v/>
      </c>
      <c r="B68" s="25" t="s">
        <v>350</v>
      </c>
      <c r="C68" s="25"/>
      <c r="D68" s="25"/>
      <c r="E68" s="19"/>
      <c r="F68" s="19"/>
      <c r="G68" s="19"/>
      <c r="H68" s="4"/>
      <c r="I68" s="4"/>
      <c r="J68" s="4"/>
      <c r="K68" s="4"/>
      <c r="L68" s="4"/>
      <c r="M68" s="4"/>
      <c r="N68" s="4"/>
      <c r="O68" s="4"/>
      <c r="P68" s="4"/>
      <c r="Q68" s="20" t="str">
        <f t="shared" si="0"/>
        <v/>
      </c>
      <c r="R68" s="5"/>
      <c r="S68" s="2"/>
    </row>
    <row r="69" spans="1:19" ht="31" outlineLevel="1" x14ac:dyDescent="0.4">
      <c r="A69" s="17" t="str">
        <f>IF(AND(D69="",D69=""),"",$D$3&amp;"_"&amp;ROW()-11-COUNTBLANK($D$12:D69))</f>
        <v>Register_46</v>
      </c>
      <c r="B69" s="24" t="s">
        <v>42</v>
      </c>
      <c r="C69" s="21" t="s">
        <v>295</v>
      </c>
      <c r="D69" s="27" t="s">
        <v>206</v>
      </c>
      <c r="E69" s="19"/>
      <c r="F69" s="19"/>
      <c r="G69" s="19"/>
      <c r="H69" s="4"/>
      <c r="I69" s="4"/>
      <c r="J69" s="4"/>
      <c r="K69" s="4"/>
      <c r="L69" s="4"/>
      <c r="M69" s="4"/>
      <c r="N69" s="4"/>
      <c r="O69" s="4"/>
      <c r="P69" s="4"/>
      <c r="Q69" s="20" t="str">
        <f t="shared" si="0"/>
        <v/>
      </c>
      <c r="R69" s="5"/>
      <c r="S69" s="2"/>
    </row>
    <row r="70" spans="1:19" ht="31" outlineLevel="1" x14ac:dyDescent="0.4">
      <c r="A70" s="17" t="str">
        <f>IF(AND(D70="",D70=""),"",$D$3&amp;"_"&amp;ROW()-11-COUNTBLANK($D$12:D70))</f>
        <v>Register_47</v>
      </c>
      <c r="B70" s="26" t="s">
        <v>45</v>
      </c>
      <c r="C70" s="21" t="s">
        <v>328</v>
      </c>
      <c r="D70" s="27" t="s">
        <v>305</v>
      </c>
      <c r="E70" s="19"/>
      <c r="F70" s="19"/>
      <c r="G70" s="19"/>
      <c r="H70" s="4"/>
      <c r="I70" s="4"/>
      <c r="J70" s="4"/>
      <c r="K70" s="4"/>
      <c r="L70" s="4"/>
      <c r="M70" s="4"/>
      <c r="N70" s="4"/>
      <c r="O70" s="4"/>
      <c r="P70" s="4"/>
      <c r="Q70" s="20" t="str">
        <f t="shared" si="0"/>
        <v/>
      </c>
      <c r="R70" s="5"/>
      <c r="S70" s="2"/>
    </row>
    <row r="71" spans="1:19" ht="46.5" outlineLevel="1" x14ac:dyDescent="0.4">
      <c r="A71" s="17"/>
      <c r="B71" s="57" t="s">
        <v>48</v>
      </c>
      <c r="C71" s="31" t="s">
        <v>329</v>
      </c>
      <c r="D71" s="31" t="s">
        <v>52</v>
      </c>
      <c r="E71" s="19"/>
      <c r="F71" s="19"/>
      <c r="G71" s="19"/>
      <c r="H71" s="4"/>
      <c r="I71" s="4"/>
      <c r="J71" s="4"/>
      <c r="K71" s="4"/>
      <c r="L71" s="4"/>
      <c r="M71" s="4"/>
      <c r="N71" s="4"/>
      <c r="O71" s="4"/>
      <c r="P71" s="4"/>
      <c r="Q71" s="20"/>
      <c r="R71" s="5"/>
      <c r="S71" s="2"/>
    </row>
    <row r="72" spans="1:19" ht="31" outlineLevel="1" x14ac:dyDescent="0.4">
      <c r="A72" s="17" t="str">
        <f>IF(AND(D72="",D72=""),"",$D$3&amp;"_"&amp;ROW()-11-COUNTBLANK($D$12:D72))</f>
        <v>Register_49</v>
      </c>
      <c r="B72" s="57"/>
      <c r="C72" s="31" t="s">
        <v>291</v>
      </c>
      <c r="D72" s="31" t="s">
        <v>52</v>
      </c>
      <c r="E72" s="19"/>
      <c r="F72" s="19"/>
      <c r="G72" s="19"/>
      <c r="H72" s="4"/>
      <c r="I72" s="4"/>
      <c r="J72" s="4"/>
      <c r="K72" s="4"/>
      <c r="L72" s="4"/>
      <c r="M72" s="4"/>
      <c r="N72" s="4"/>
      <c r="O72" s="4"/>
      <c r="P72" s="4"/>
      <c r="Q72" s="20" t="str">
        <f t="shared" si="0"/>
        <v/>
      </c>
      <c r="R72" s="5"/>
      <c r="S72" s="2"/>
    </row>
    <row r="73" spans="1:19" ht="31" outlineLevel="1" x14ac:dyDescent="0.4">
      <c r="A73" s="17"/>
      <c r="B73" s="57"/>
      <c r="C73" s="31" t="s">
        <v>292</v>
      </c>
      <c r="D73" s="31" t="s">
        <v>52</v>
      </c>
      <c r="E73" s="19"/>
      <c r="F73" s="19"/>
      <c r="G73" s="19"/>
      <c r="H73" s="4"/>
      <c r="I73" s="4"/>
      <c r="J73" s="4"/>
      <c r="K73" s="4"/>
      <c r="L73" s="4"/>
      <c r="M73" s="4"/>
      <c r="N73" s="4"/>
      <c r="O73" s="4"/>
      <c r="P73" s="4"/>
      <c r="Q73" s="20"/>
      <c r="R73" s="5"/>
      <c r="S73" s="2"/>
    </row>
    <row r="74" spans="1:19" ht="31" outlineLevel="1" x14ac:dyDescent="0.4">
      <c r="A74" s="17"/>
      <c r="B74" s="57"/>
      <c r="C74" s="31" t="s">
        <v>340</v>
      </c>
      <c r="D74" s="31" t="s">
        <v>213</v>
      </c>
      <c r="E74" s="19"/>
      <c r="F74" s="19"/>
      <c r="G74" s="19"/>
      <c r="H74" s="4"/>
      <c r="I74" s="4"/>
      <c r="J74" s="4"/>
      <c r="K74" s="4"/>
      <c r="L74" s="4"/>
      <c r="M74" s="4"/>
      <c r="N74" s="4"/>
      <c r="O74" s="4"/>
      <c r="P74" s="4"/>
      <c r="Q74" s="20"/>
      <c r="R74" s="5"/>
      <c r="S74" s="2"/>
    </row>
    <row r="75" spans="1:19" ht="31" outlineLevel="1" x14ac:dyDescent="0.4">
      <c r="A75" s="17"/>
      <c r="B75" s="57"/>
      <c r="C75" s="31" t="s">
        <v>341</v>
      </c>
      <c r="D75" s="31" t="s">
        <v>213</v>
      </c>
      <c r="E75" s="19"/>
      <c r="F75" s="19"/>
      <c r="G75" s="19"/>
      <c r="H75" s="4"/>
      <c r="I75" s="4"/>
      <c r="J75" s="4"/>
      <c r="K75" s="4"/>
      <c r="L75" s="4"/>
      <c r="M75" s="4"/>
      <c r="N75" s="4"/>
      <c r="O75" s="4"/>
      <c r="P75" s="4"/>
      <c r="Q75" s="20"/>
      <c r="R75" s="5"/>
      <c r="S75" s="2"/>
    </row>
    <row r="76" spans="1:19" outlineLevel="1" x14ac:dyDescent="0.4">
      <c r="A76" s="17" t="str">
        <f>IF(AND(D76="",D76=""),"",$D$3&amp;"_"&amp;ROW()-11-COUNTBLANK($D$12:D76))</f>
        <v/>
      </c>
      <c r="B76" s="24"/>
      <c r="C76" s="21"/>
      <c r="D76" s="27"/>
      <c r="E76" s="19"/>
      <c r="F76" s="19"/>
      <c r="G76" s="19"/>
      <c r="H76" s="4"/>
      <c r="I76" s="4"/>
      <c r="J76" s="4"/>
      <c r="K76" s="4"/>
      <c r="L76" s="4"/>
      <c r="M76" s="4"/>
      <c r="N76" s="4"/>
      <c r="O76" s="4"/>
      <c r="P76" s="4"/>
      <c r="Q76" s="20" t="str">
        <f t="shared" si="0"/>
        <v/>
      </c>
      <c r="R76" s="5"/>
      <c r="S76" s="2"/>
    </row>
    <row r="77" spans="1:19" ht="31" outlineLevel="1" x14ac:dyDescent="0.4">
      <c r="A77" s="17" t="str">
        <f>IF(AND(D77="",D77=""),"",$D$3&amp;"_"&amp;ROW()-11-COUNTBLANK($D$12:D77))</f>
        <v>Register_53</v>
      </c>
      <c r="B77" s="24" t="s">
        <v>232</v>
      </c>
      <c r="C77" s="21" t="s">
        <v>342</v>
      </c>
      <c r="D77" s="27" t="s">
        <v>343</v>
      </c>
      <c r="E77" s="19"/>
      <c r="F77" s="19"/>
      <c r="G77" s="19"/>
      <c r="H77" s="4"/>
      <c r="I77" s="4"/>
      <c r="J77" s="4"/>
      <c r="K77" s="4"/>
      <c r="L77" s="4"/>
      <c r="M77" s="4"/>
      <c r="N77" s="4"/>
      <c r="O77" s="4"/>
      <c r="P77" s="4"/>
      <c r="Q77" s="20" t="str">
        <f t="shared" si="0"/>
        <v/>
      </c>
      <c r="R77" s="5"/>
      <c r="S77" s="2"/>
    </row>
    <row r="78" spans="1:19" outlineLevel="1" x14ac:dyDescent="0.4">
      <c r="A78" s="17" t="str">
        <f>IF(AND(D78="",D78=""),"",$D$3&amp;"_"&amp;ROW()-11-COUNTBLANK($D$12:D78))</f>
        <v>Register_54</v>
      </c>
      <c r="B78" s="56" t="s">
        <v>55</v>
      </c>
      <c r="C78" s="21" t="s">
        <v>344</v>
      </c>
      <c r="D78" s="27" t="s">
        <v>332</v>
      </c>
      <c r="E78" s="19"/>
      <c r="F78" s="19"/>
      <c r="G78" s="19"/>
      <c r="H78" s="4"/>
      <c r="I78" s="4"/>
      <c r="J78" s="4"/>
      <c r="K78" s="4"/>
      <c r="L78" s="4"/>
      <c r="M78" s="4"/>
      <c r="N78" s="4"/>
      <c r="O78" s="4"/>
      <c r="P78" s="4"/>
      <c r="Q78" s="20" t="str">
        <f t="shared" si="0"/>
        <v/>
      </c>
      <c r="R78" s="5"/>
      <c r="S78" s="2"/>
    </row>
    <row r="79" spans="1:19" outlineLevel="1" x14ac:dyDescent="0.4">
      <c r="A79" s="17" t="str">
        <f>IF(AND(D79="",D79=""),"",$D$3&amp;"_"&amp;ROW()-11-COUNTBLANK($D$12:D79))</f>
        <v>Register_55</v>
      </c>
      <c r="B79" s="56"/>
      <c r="C79" s="21" t="s">
        <v>345</v>
      </c>
      <c r="D79" s="27" t="s">
        <v>334</v>
      </c>
      <c r="E79" s="19"/>
      <c r="F79" s="19"/>
      <c r="G79" s="19"/>
      <c r="H79" s="4"/>
      <c r="I79" s="4"/>
      <c r="J79" s="4"/>
      <c r="K79" s="4"/>
      <c r="L79" s="4"/>
      <c r="M79" s="4"/>
      <c r="N79" s="4"/>
      <c r="O79" s="4"/>
      <c r="P79" s="4"/>
      <c r="Q79" s="20" t="str">
        <f t="shared" si="0"/>
        <v/>
      </c>
      <c r="R79" s="5"/>
      <c r="S79" s="2"/>
    </row>
    <row r="80" spans="1:19" outlineLevel="1" x14ac:dyDescent="0.4">
      <c r="A80" s="17" t="str">
        <f>IF(AND(D80="",D80=""),"",$D$3&amp;"_"&amp;ROW()-11-COUNTBLANK($D$12:D80))</f>
        <v>Register_56</v>
      </c>
      <c r="B80" s="56"/>
      <c r="C80" s="21" t="s">
        <v>346</v>
      </c>
      <c r="D80" s="27" t="s">
        <v>334</v>
      </c>
      <c r="E80" s="19"/>
      <c r="F80" s="19"/>
      <c r="G80" s="19"/>
      <c r="H80" s="4"/>
      <c r="I80" s="4"/>
      <c r="J80" s="4"/>
      <c r="K80" s="4"/>
      <c r="L80" s="4"/>
      <c r="M80" s="4"/>
      <c r="N80" s="4"/>
      <c r="O80" s="4"/>
      <c r="P80" s="4"/>
      <c r="Q80" s="20" t="str">
        <f t="shared" si="0"/>
        <v/>
      </c>
      <c r="R80" s="5"/>
      <c r="S80" s="2"/>
    </row>
    <row r="81" spans="1:19" outlineLevel="1" x14ac:dyDescent="0.4">
      <c r="A81" s="17" t="str">
        <f>IF(AND(D81="",D81=""),"",$D$3&amp;"_"&amp;ROW()-11-COUNTBLANK($D$12:D81))</f>
        <v>Register_57</v>
      </c>
      <c r="B81" s="56"/>
      <c r="C81" s="21" t="s">
        <v>347</v>
      </c>
      <c r="D81" s="27" t="s">
        <v>334</v>
      </c>
      <c r="E81" s="19"/>
      <c r="F81" s="19"/>
      <c r="G81" s="19"/>
      <c r="H81" s="4"/>
      <c r="I81" s="4"/>
      <c r="J81" s="4"/>
      <c r="K81" s="4"/>
      <c r="L81" s="4"/>
      <c r="M81" s="4"/>
      <c r="N81" s="4"/>
      <c r="O81" s="4"/>
      <c r="P81" s="4"/>
      <c r="Q81" s="20" t="str">
        <f t="shared" si="0"/>
        <v/>
      </c>
      <c r="R81" s="5"/>
      <c r="S81" s="2"/>
    </row>
    <row r="82" spans="1:19" outlineLevel="1" x14ac:dyDescent="0.4">
      <c r="A82" s="17" t="str">
        <f>IF(AND(D82="",D82=""),"",$D$3&amp;"_"&amp;ROW()-11-COUNTBLANK($D$12:D82))</f>
        <v>Register_58</v>
      </c>
      <c r="B82" s="56"/>
      <c r="C82" s="21" t="s">
        <v>348</v>
      </c>
      <c r="D82" s="27" t="s">
        <v>349</v>
      </c>
      <c r="E82" s="19"/>
      <c r="F82" s="19"/>
      <c r="G82" s="19"/>
      <c r="H82" s="4"/>
      <c r="I82" s="4"/>
      <c r="J82" s="4"/>
      <c r="K82" s="4"/>
      <c r="L82" s="4"/>
      <c r="M82" s="4"/>
      <c r="N82" s="4"/>
      <c r="O82" s="4"/>
      <c r="P82" s="4"/>
      <c r="Q82" s="20" t="str">
        <f t="shared" si="0"/>
        <v/>
      </c>
      <c r="R82" s="5"/>
      <c r="S82" s="2"/>
    </row>
    <row r="83" spans="1:19" ht="31" outlineLevel="1" x14ac:dyDescent="0.4">
      <c r="A83" s="17" t="str">
        <f>IF(AND(D83="",D83=""),"",$D$3&amp;"_"&amp;ROW()-11-COUNTBLANK($D$12:D83))</f>
        <v>Register_59</v>
      </c>
      <c r="B83" s="26" t="s">
        <v>351</v>
      </c>
      <c r="C83" s="21" t="s">
        <v>352</v>
      </c>
      <c r="D83" s="27" t="s">
        <v>353</v>
      </c>
      <c r="E83" s="19"/>
      <c r="F83" s="19"/>
      <c r="G83" s="19"/>
      <c r="H83" s="4"/>
      <c r="I83" s="4"/>
      <c r="J83" s="4"/>
      <c r="K83" s="4"/>
      <c r="L83" s="4"/>
      <c r="M83" s="4"/>
      <c r="N83" s="4"/>
      <c r="O83" s="4"/>
      <c r="P83" s="4"/>
      <c r="Q83" s="20" t="str">
        <f t="shared" si="0"/>
        <v/>
      </c>
      <c r="R83" s="5"/>
      <c r="S83" s="2"/>
    </row>
    <row r="84" spans="1:19" outlineLevel="1" x14ac:dyDescent="0.4">
      <c r="A84" s="17" t="str">
        <f>IF(AND(D84="",D84=""),"",$D$3&amp;"_"&amp;ROW()-11-COUNTBLANK($D$12:D84))</f>
        <v>Register_60</v>
      </c>
      <c r="B84" s="26" t="s">
        <v>354</v>
      </c>
      <c r="C84" s="21" t="s">
        <v>355</v>
      </c>
      <c r="D84" s="27" t="s">
        <v>218</v>
      </c>
      <c r="E84" s="19"/>
      <c r="F84" s="19"/>
      <c r="G84" s="19"/>
      <c r="H84" s="4"/>
      <c r="I84" s="4"/>
      <c r="J84" s="4"/>
      <c r="K84" s="4"/>
      <c r="L84" s="4"/>
      <c r="M84" s="4"/>
      <c r="N84" s="4"/>
      <c r="O84" s="4"/>
      <c r="P84" s="4"/>
      <c r="Q84" s="20" t="str">
        <f t="shared" si="0"/>
        <v/>
      </c>
      <c r="R84" s="5"/>
      <c r="S84" s="2"/>
    </row>
    <row r="85" spans="1:19" outlineLevel="1" x14ac:dyDescent="0.4">
      <c r="A85" s="17" t="str">
        <f>IF(AND(D85="",D85=""),"",$D$3&amp;"_"&amp;ROW()-11-COUNTBLANK($D$12:D85))</f>
        <v/>
      </c>
      <c r="B85" s="26"/>
      <c r="C85" s="21"/>
      <c r="D85" s="27"/>
      <c r="E85" s="19"/>
      <c r="F85" s="19"/>
      <c r="G85" s="19"/>
      <c r="H85" s="4"/>
      <c r="I85" s="4"/>
      <c r="J85" s="4"/>
      <c r="K85" s="4"/>
      <c r="L85" s="4"/>
      <c r="M85" s="4"/>
      <c r="N85" s="4"/>
      <c r="O85" s="4"/>
      <c r="P85" s="4"/>
      <c r="Q85" s="20"/>
      <c r="R85" s="5"/>
      <c r="S85" s="2"/>
    </row>
    <row r="86" spans="1:19" x14ac:dyDescent="0.4">
      <c r="A86" s="17" t="str">
        <f>IF(AND(D86="",D86=""),"",$D$3&amp;"_"&amp;ROW()-11-COUNTBLANK($D$12:D86))</f>
        <v/>
      </c>
      <c r="B86" s="25" t="s">
        <v>356</v>
      </c>
      <c r="C86" s="25"/>
      <c r="D86" s="25"/>
      <c r="E86" s="19"/>
      <c r="F86" s="19"/>
      <c r="G86" s="19"/>
      <c r="H86" s="4"/>
      <c r="I86" s="4"/>
      <c r="J86" s="4"/>
      <c r="K86" s="4"/>
      <c r="L86" s="4"/>
      <c r="M86" s="4"/>
      <c r="N86" s="4"/>
      <c r="O86" s="4"/>
      <c r="P86" s="4"/>
      <c r="Q86" s="20" t="str">
        <f t="shared" si="0"/>
        <v/>
      </c>
      <c r="R86" s="5"/>
      <c r="S86" s="2"/>
    </row>
    <row r="87" spans="1:19" ht="31" outlineLevel="1" x14ac:dyDescent="0.4">
      <c r="A87" s="17" t="str">
        <f>IF(AND(D87="",D87=""),"",$D$3&amp;"_"&amp;ROW()-11-COUNTBLANK($D$12:D87))</f>
        <v>Register_61</v>
      </c>
      <c r="B87" s="24" t="s">
        <v>42</v>
      </c>
      <c r="C87" s="21" t="s">
        <v>295</v>
      </c>
      <c r="D87" s="27" t="s">
        <v>206</v>
      </c>
      <c r="E87" s="19"/>
      <c r="F87" s="19"/>
      <c r="G87" s="19"/>
      <c r="H87" s="4"/>
      <c r="I87" s="4"/>
      <c r="J87" s="4"/>
      <c r="K87" s="4"/>
      <c r="L87" s="4"/>
      <c r="M87" s="4"/>
      <c r="N87" s="4"/>
      <c r="O87" s="4"/>
      <c r="P87" s="4"/>
      <c r="Q87" s="20" t="str">
        <f t="shared" si="0"/>
        <v/>
      </c>
      <c r="R87" s="5"/>
      <c r="S87" s="2"/>
    </row>
    <row r="88" spans="1:19" ht="31" outlineLevel="1" x14ac:dyDescent="0.4">
      <c r="A88" s="17" t="str">
        <f>IF(AND(D88="",D88=""),"",$D$3&amp;"_"&amp;ROW()-11-COUNTBLANK($D$12:D88))</f>
        <v>Register_62</v>
      </c>
      <c r="B88" s="26" t="s">
        <v>45</v>
      </c>
      <c r="C88" s="21" t="s">
        <v>328</v>
      </c>
      <c r="D88" s="27" t="s">
        <v>305</v>
      </c>
      <c r="E88" s="19"/>
      <c r="F88" s="19"/>
      <c r="G88" s="19"/>
      <c r="H88" s="4"/>
      <c r="I88" s="4"/>
      <c r="J88" s="4"/>
      <c r="K88" s="4"/>
      <c r="L88" s="4"/>
      <c r="M88" s="4"/>
      <c r="N88" s="4"/>
      <c r="O88" s="4"/>
      <c r="P88" s="4"/>
      <c r="Q88" s="20" t="str">
        <f t="shared" si="0"/>
        <v/>
      </c>
      <c r="R88" s="5"/>
      <c r="S88" s="2"/>
    </row>
    <row r="89" spans="1:19" ht="16.5" customHeight="1" outlineLevel="1" x14ac:dyDescent="0.4">
      <c r="A89" s="17" t="str">
        <f>IF(AND(D89="",D89=""),"",$D$3&amp;"_"&amp;ROW()-11-COUNTBLANK($D$12:D89))</f>
        <v>Register_63</v>
      </c>
      <c r="B89" s="58" t="s">
        <v>55</v>
      </c>
      <c r="C89" s="21" t="s">
        <v>357</v>
      </c>
      <c r="D89" s="27" t="s">
        <v>334</v>
      </c>
      <c r="E89" s="19"/>
      <c r="F89" s="19"/>
      <c r="G89" s="19"/>
      <c r="H89" s="4"/>
      <c r="I89" s="4"/>
      <c r="J89" s="4"/>
      <c r="K89" s="4"/>
      <c r="L89" s="4"/>
      <c r="M89" s="4"/>
      <c r="N89" s="4"/>
      <c r="O89" s="4"/>
      <c r="P89" s="4"/>
      <c r="Q89" s="20" t="str">
        <f t="shared" si="0"/>
        <v/>
      </c>
      <c r="R89" s="5"/>
      <c r="S89" s="2" t="s">
        <v>358</v>
      </c>
    </row>
    <row r="90" spans="1:19" outlineLevel="1" x14ac:dyDescent="0.4">
      <c r="A90" s="17" t="str">
        <f>IF(AND(D90="",D90=""),"",$D$3&amp;"_"&amp;ROW()-11-COUNTBLANK($D$12:D90))</f>
        <v>Register_64</v>
      </c>
      <c r="B90" s="58"/>
      <c r="C90" s="21" t="s">
        <v>359</v>
      </c>
      <c r="D90" s="27" t="s">
        <v>334</v>
      </c>
      <c r="E90" s="19"/>
      <c r="F90" s="19"/>
      <c r="G90" s="19"/>
      <c r="H90" s="4"/>
      <c r="I90" s="4"/>
      <c r="J90" s="4"/>
      <c r="K90" s="4"/>
      <c r="L90" s="4"/>
      <c r="M90" s="4"/>
      <c r="N90" s="4"/>
      <c r="O90" s="4"/>
      <c r="P90" s="4"/>
      <c r="Q90" s="20" t="str">
        <f t="shared" si="0"/>
        <v/>
      </c>
      <c r="R90" s="5"/>
      <c r="S90" s="2"/>
    </row>
    <row r="91" spans="1:19" outlineLevel="1" x14ac:dyDescent="0.4">
      <c r="A91" s="17" t="str">
        <f>IF(AND(D91="",D91=""),"",$D$3&amp;"_"&amp;ROW()-11-COUNTBLANK($D$12:D91))</f>
        <v>Register_65</v>
      </c>
      <c r="B91" s="58"/>
      <c r="C91" s="21" t="s">
        <v>360</v>
      </c>
      <c r="D91" s="27" t="s">
        <v>332</v>
      </c>
      <c r="E91" s="19"/>
      <c r="F91" s="19"/>
      <c r="G91" s="19"/>
      <c r="H91" s="4"/>
      <c r="I91" s="4"/>
      <c r="J91" s="4"/>
      <c r="K91" s="4"/>
      <c r="L91" s="4"/>
      <c r="M91" s="4"/>
      <c r="N91" s="4"/>
      <c r="O91" s="4"/>
      <c r="P91" s="4"/>
      <c r="Q91" s="20" t="str">
        <f t="shared" si="0"/>
        <v/>
      </c>
      <c r="R91" s="5"/>
      <c r="S91" s="2"/>
    </row>
    <row r="92" spans="1:19" x14ac:dyDescent="0.4">
      <c r="A92" s="17" t="str">
        <f>IF(AND(D92="",D92=""),"",$D$3&amp;"_"&amp;ROW()-11-COUNTBLANK($D$12:D92))</f>
        <v>Register_66</v>
      </c>
      <c r="B92" s="58" t="s">
        <v>361</v>
      </c>
      <c r="C92" s="21" t="s">
        <v>362</v>
      </c>
      <c r="D92" s="27" t="s">
        <v>353</v>
      </c>
      <c r="E92" s="19"/>
      <c r="F92" s="19"/>
      <c r="G92" s="19"/>
      <c r="H92" s="4"/>
      <c r="I92" s="4"/>
      <c r="J92" s="4"/>
      <c r="K92" s="4"/>
      <c r="L92" s="4"/>
      <c r="M92" s="4"/>
      <c r="N92" s="4"/>
      <c r="O92" s="4"/>
      <c r="P92" s="4"/>
      <c r="Q92" s="20" t="str">
        <f t="shared" si="0"/>
        <v/>
      </c>
      <c r="R92" s="5"/>
      <c r="S92" s="2"/>
    </row>
    <row r="93" spans="1:19" outlineLevel="1" x14ac:dyDescent="0.4">
      <c r="A93" s="17" t="str">
        <f>IF(AND(D93="",D93=""),"",$D$3&amp;"_"&amp;ROW()-11-COUNTBLANK($D$12:D93))</f>
        <v>Register_67</v>
      </c>
      <c r="B93" s="58"/>
      <c r="C93" s="21" t="s">
        <v>363</v>
      </c>
      <c r="D93" s="27" t="s">
        <v>353</v>
      </c>
      <c r="E93" s="19"/>
      <c r="F93" s="19"/>
      <c r="G93" s="19"/>
      <c r="H93" s="4"/>
      <c r="I93" s="4"/>
      <c r="J93" s="4"/>
      <c r="K93" s="4"/>
      <c r="L93" s="4"/>
      <c r="M93" s="4"/>
      <c r="N93" s="4"/>
      <c r="O93" s="4"/>
      <c r="P93" s="4"/>
      <c r="Q93" s="20" t="str">
        <f t="shared" si="0"/>
        <v/>
      </c>
      <c r="R93" s="5"/>
      <c r="S93" s="2"/>
    </row>
    <row r="94" spans="1:19" outlineLevel="1" x14ac:dyDescent="0.4">
      <c r="A94" s="17" t="str">
        <f>IF(AND(D94="",D94=""),"",$D$3&amp;"_"&amp;ROW()-11-COUNTBLANK($D$12:D94))</f>
        <v>Register_68</v>
      </c>
      <c r="B94" s="58"/>
      <c r="C94" s="21" t="s">
        <v>364</v>
      </c>
      <c r="D94" s="27" t="s">
        <v>353</v>
      </c>
      <c r="E94" s="19"/>
      <c r="F94" s="19"/>
      <c r="G94" s="19"/>
      <c r="H94" s="4"/>
      <c r="I94" s="4"/>
      <c r="J94" s="4"/>
      <c r="K94" s="4"/>
      <c r="L94" s="4"/>
      <c r="M94" s="4"/>
      <c r="N94" s="4"/>
      <c r="O94" s="4"/>
      <c r="P94" s="4"/>
      <c r="Q94" s="20" t="str">
        <f t="shared" si="0"/>
        <v/>
      </c>
      <c r="R94" s="5"/>
      <c r="S94" s="2"/>
    </row>
    <row r="95" spans="1:19" outlineLevel="1" x14ac:dyDescent="0.4">
      <c r="A95" s="17" t="str">
        <f>IF(AND(D95="",D95=""),"",$D$3&amp;"_"&amp;ROW()-11-COUNTBLANK($D$12:D95))</f>
        <v>Register_69</v>
      </c>
      <c r="B95" s="58"/>
      <c r="C95" s="21" t="s">
        <v>365</v>
      </c>
      <c r="D95" s="27" t="s">
        <v>353</v>
      </c>
      <c r="E95" s="19"/>
      <c r="F95" s="19"/>
      <c r="G95" s="19"/>
      <c r="H95" s="4"/>
      <c r="I95" s="4"/>
      <c r="J95" s="4"/>
      <c r="K95" s="4"/>
      <c r="L95" s="4"/>
      <c r="M95" s="4"/>
      <c r="N95" s="4"/>
      <c r="O95" s="4"/>
      <c r="P95" s="4"/>
      <c r="Q95" s="20" t="str">
        <f t="shared" si="0"/>
        <v/>
      </c>
      <c r="R95" s="5"/>
      <c r="S95" s="2"/>
    </row>
    <row r="96" spans="1:19" outlineLevel="1" x14ac:dyDescent="0.4">
      <c r="A96" s="17" t="str">
        <f>IF(AND(D96="",D96=""),"",$D$3&amp;"_"&amp;ROW()-11-COUNTBLANK($D$12:D96))</f>
        <v/>
      </c>
      <c r="B96" s="24"/>
      <c r="C96" s="21"/>
      <c r="D96" s="27"/>
      <c r="E96" s="19"/>
      <c r="F96" s="19"/>
      <c r="G96" s="19"/>
      <c r="H96" s="4"/>
      <c r="I96" s="4"/>
      <c r="J96" s="4"/>
      <c r="K96" s="4"/>
      <c r="L96" s="4"/>
      <c r="M96" s="4"/>
      <c r="N96" s="4"/>
      <c r="O96" s="4"/>
      <c r="P96" s="4"/>
      <c r="Q96" s="20" t="str">
        <f t="shared" si="0"/>
        <v/>
      </c>
      <c r="R96" s="5"/>
      <c r="S96" s="2"/>
    </row>
    <row r="97" spans="1:19" outlineLevel="1" x14ac:dyDescent="0.4">
      <c r="A97" s="17" t="str">
        <f>IF(AND(D97="",D97=""),"",$D$3&amp;"_"&amp;ROW()-11-COUNTBLANK($D$12:D97))</f>
        <v/>
      </c>
      <c r="B97" s="25" t="s">
        <v>366</v>
      </c>
      <c r="C97" s="25"/>
      <c r="D97" s="25"/>
      <c r="E97" s="19"/>
      <c r="F97" s="19"/>
      <c r="G97" s="19"/>
      <c r="H97" s="4"/>
      <c r="I97" s="4"/>
      <c r="J97" s="4"/>
      <c r="K97" s="4"/>
      <c r="L97" s="4"/>
      <c r="M97" s="4"/>
      <c r="N97" s="4"/>
      <c r="O97" s="4"/>
      <c r="P97" s="4"/>
      <c r="Q97" s="20" t="str">
        <f t="shared" si="0"/>
        <v/>
      </c>
      <c r="R97" s="5"/>
      <c r="S97" s="2"/>
    </row>
    <row r="98" spans="1:19" ht="31" outlineLevel="1" x14ac:dyDescent="0.4">
      <c r="A98" s="17" t="str">
        <f>IF(AND(D98="",D98=""),"",$D$3&amp;"_"&amp;ROW()-11-COUNTBLANK($D$12:D98))</f>
        <v>Register_70</v>
      </c>
      <c r="B98" s="24" t="s">
        <v>42</v>
      </c>
      <c r="C98" s="21" t="s">
        <v>295</v>
      </c>
      <c r="D98" s="27" t="s">
        <v>206</v>
      </c>
      <c r="E98" s="19"/>
      <c r="F98" s="19"/>
      <c r="G98" s="19"/>
      <c r="H98" s="4"/>
      <c r="I98" s="4"/>
      <c r="J98" s="4"/>
      <c r="K98" s="4"/>
      <c r="L98" s="4"/>
      <c r="M98" s="4"/>
      <c r="N98" s="4"/>
      <c r="O98" s="4"/>
      <c r="P98" s="4"/>
      <c r="Q98" s="20" t="str">
        <f t="shared" si="0"/>
        <v/>
      </c>
      <c r="R98" s="5"/>
      <c r="S98" s="2"/>
    </row>
    <row r="99" spans="1:19" ht="31" outlineLevel="1" x14ac:dyDescent="0.4">
      <c r="A99" s="17" t="str">
        <f>IF(AND(D99="",D99=""),"",$D$3&amp;"_"&amp;ROW()-11-COUNTBLANK($D$12:D99))</f>
        <v>Register_71</v>
      </c>
      <c r="B99" s="26" t="s">
        <v>45</v>
      </c>
      <c r="C99" s="21" t="s">
        <v>328</v>
      </c>
      <c r="D99" s="27" t="s">
        <v>305</v>
      </c>
      <c r="E99" s="19"/>
      <c r="F99" s="19"/>
      <c r="G99" s="19"/>
      <c r="H99" s="4"/>
      <c r="I99" s="4"/>
      <c r="J99" s="4"/>
      <c r="K99" s="4"/>
      <c r="L99" s="4"/>
      <c r="M99" s="4"/>
      <c r="N99" s="4"/>
      <c r="O99" s="4"/>
      <c r="P99" s="4"/>
      <c r="Q99" s="20" t="str">
        <f t="shared" si="0"/>
        <v/>
      </c>
      <c r="R99" s="5"/>
      <c r="S99" s="2"/>
    </row>
    <row r="100" spans="1:19" ht="46.5" outlineLevel="1" x14ac:dyDescent="0.4">
      <c r="A100" s="17" t="str">
        <f>IF(AND(D100="",D100=""),"",$D$3&amp;"_"&amp;ROW()-11-COUNTBLANK($D$12:D100))</f>
        <v>Register_72</v>
      </c>
      <c r="B100" s="57" t="s">
        <v>48</v>
      </c>
      <c r="C100" s="31" t="s">
        <v>329</v>
      </c>
      <c r="D100" s="31" t="s">
        <v>52</v>
      </c>
      <c r="E100" s="19"/>
      <c r="F100" s="19"/>
      <c r="G100" s="19"/>
      <c r="H100" s="4"/>
      <c r="I100" s="4"/>
      <c r="J100" s="4"/>
      <c r="K100" s="4"/>
      <c r="L100" s="4"/>
      <c r="M100" s="4"/>
      <c r="N100" s="4"/>
      <c r="O100" s="4"/>
      <c r="P100" s="4"/>
      <c r="Q100" s="20" t="str">
        <f t="shared" si="0"/>
        <v/>
      </c>
      <c r="R100" s="5"/>
      <c r="S100" s="2"/>
    </row>
    <row r="101" spans="1:19" ht="31" outlineLevel="1" x14ac:dyDescent="0.4">
      <c r="A101" s="17"/>
      <c r="B101" s="57"/>
      <c r="C101" s="31" t="s">
        <v>291</v>
      </c>
      <c r="D101" s="31" t="s">
        <v>52</v>
      </c>
      <c r="E101" s="19"/>
      <c r="F101" s="19"/>
      <c r="G101" s="19"/>
      <c r="H101" s="4"/>
      <c r="I101" s="4"/>
      <c r="J101" s="4"/>
      <c r="K101" s="4"/>
      <c r="L101" s="4"/>
      <c r="M101" s="4"/>
      <c r="N101" s="4"/>
      <c r="O101" s="4"/>
      <c r="P101" s="4"/>
      <c r="Q101" s="20"/>
      <c r="R101" s="5"/>
      <c r="S101" s="2"/>
    </row>
    <row r="102" spans="1:19" ht="31" outlineLevel="1" x14ac:dyDescent="0.4">
      <c r="A102" s="17"/>
      <c r="B102" s="57"/>
      <c r="C102" s="31" t="s">
        <v>292</v>
      </c>
      <c r="D102" s="31" t="s">
        <v>52</v>
      </c>
      <c r="E102" s="19"/>
      <c r="F102" s="19"/>
      <c r="G102" s="19"/>
      <c r="H102" s="4"/>
      <c r="I102" s="4"/>
      <c r="J102" s="4"/>
      <c r="K102" s="4"/>
      <c r="L102" s="4"/>
      <c r="M102" s="4"/>
      <c r="N102" s="4"/>
      <c r="O102" s="4"/>
      <c r="P102" s="4"/>
      <c r="Q102" s="20"/>
      <c r="R102" s="5"/>
      <c r="S102" s="2"/>
    </row>
    <row r="103" spans="1:19" ht="31" outlineLevel="1" x14ac:dyDescent="0.4">
      <c r="A103" s="17"/>
      <c r="B103" s="57"/>
      <c r="C103" s="31" t="s">
        <v>293</v>
      </c>
      <c r="D103" s="31" t="s">
        <v>52</v>
      </c>
      <c r="E103" s="19"/>
      <c r="F103" s="19"/>
      <c r="G103" s="19"/>
      <c r="H103" s="4"/>
      <c r="I103" s="4"/>
      <c r="J103" s="4"/>
      <c r="K103" s="4"/>
      <c r="L103" s="4"/>
      <c r="M103" s="4"/>
      <c r="N103" s="4"/>
      <c r="O103" s="4"/>
      <c r="P103" s="4"/>
      <c r="Q103" s="20"/>
      <c r="R103" s="5"/>
      <c r="S103" s="2"/>
    </row>
    <row r="104" spans="1:19" ht="31" outlineLevel="1" x14ac:dyDescent="0.4">
      <c r="A104" s="17"/>
      <c r="B104" s="57"/>
      <c r="C104" s="31" t="s">
        <v>330</v>
      </c>
      <c r="D104" s="31" t="s">
        <v>52</v>
      </c>
      <c r="E104" s="19"/>
      <c r="F104" s="19"/>
      <c r="G104" s="19"/>
      <c r="H104" s="4"/>
      <c r="I104" s="4"/>
      <c r="J104" s="4"/>
      <c r="K104" s="4"/>
      <c r="L104" s="4"/>
      <c r="M104" s="4"/>
      <c r="N104" s="4"/>
      <c r="O104" s="4"/>
      <c r="P104" s="4"/>
      <c r="Q104" s="20"/>
      <c r="R104" s="5"/>
      <c r="S104" s="2"/>
    </row>
    <row r="105" spans="1:19" x14ac:dyDescent="0.4">
      <c r="A105" s="17" t="str">
        <f>IF(AND(D105="",D105=""),"",$D$3&amp;"_"&amp;ROW()-11-COUNTBLANK($D$12:D105))</f>
        <v/>
      </c>
      <c r="B105" s="25" t="s">
        <v>367</v>
      </c>
      <c r="C105" s="25"/>
      <c r="D105" s="25"/>
      <c r="E105" s="19"/>
      <c r="F105" s="19"/>
      <c r="G105" s="19"/>
      <c r="H105" s="4"/>
      <c r="I105" s="4"/>
      <c r="J105" s="4"/>
      <c r="K105" s="4"/>
      <c r="L105" s="4"/>
      <c r="M105" s="4"/>
      <c r="N105" s="4"/>
      <c r="O105" s="4"/>
      <c r="P105" s="4"/>
      <c r="Q105" s="20" t="str">
        <f t="shared" si="0"/>
        <v/>
      </c>
      <c r="R105" s="5"/>
      <c r="S105" s="2"/>
    </row>
    <row r="106" spans="1:19" ht="31" outlineLevel="1" x14ac:dyDescent="0.4">
      <c r="A106" s="17" t="str">
        <f>IF(AND(D106="",D106=""),"",$D$3&amp;"_"&amp;ROW()-11-COUNTBLANK($D$12:D106))</f>
        <v>Register_77</v>
      </c>
      <c r="B106" s="24" t="s">
        <v>45</v>
      </c>
      <c r="C106" s="21" t="s">
        <v>368</v>
      </c>
      <c r="D106" s="24" t="s">
        <v>305</v>
      </c>
      <c r="E106" s="19"/>
      <c r="F106" s="19"/>
      <c r="G106" s="19"/>
      <c r="H106" s="4"/>
      <c r="I106" s="4"/>
      <c r="J106" s="4"/>
      <c r="K106" s="4"/>
      <c r="L106" s="4"/>
      <c r="M106" s="4"/>
      <c r="N106" s="4"/>
      <c r="O106" s="4"/>
      <c r="P106" s="4"/>
      <c r="Q106" s="20" t="str">
        <f t="shared" si="0"/>
        <v/>
      </c>
      <c r="R106" s="5"/>
      <c r="S106" s="2"/>
    </row>
    <row r="107" spans="1:19" ht="31" outlineLevel="1" x14ac:dyDescent="0.4">
      <c r="A107" s="17" t="str">
        <f>IF(AND(D107="",D107=""),"",$D$3&amp;"_"&amp;ROW()-11-COUNTBLANK($D$12:D107))</f>
        <v>Register_78</v>
      </c>
      <c r="B107" s="26" t="s">
        <v>306</v>
      </c>
      <c r="C107" s="21" t="s">
        <v>307</v>
      </c>
      <c r="D107" s="27" t="s">
        <v>369</v>
      </c>
      <c r="E107" s="19"/>
      <c r="F107" s="19"/>
      <c r="G107" s="19"/>
      <c r="H107" s="4"/>
      <c r="I107" s="4"/>
      <c r="J107" s="4"/>
      <c r="K107" s="4"/>
      <c r="L107" s="4"/>
      <c r="M107" s="4"/>
      <c r="N107" s="4"/>
      <c r="O107" s="4"/>
      <c r="P107" s="4"/>
      <c r="Q107" s="20" t="str">
        <f t="shared" si="0"/>
        <v/>
      </c>
      <c r="R107" s="5"/>
      <c r="S107" s="2"/>
    </row>
    <row r="108" spans="1:19" ht="31" outlineLevel="1" x14ac:dyDescent="0.4">
      <c r="A108" s="17"/>
      <c r="B108" s="26" t="s">
        <v>309</v>
      </c>
      <c r="C108" s="21" t="s">
        <v>310</v>
      </c>
      <c r="D108" s="27" t="s">
        <v>66</v>
      </c>
      <c r="E108" s="19"/>
      <c r="F108" s="19"/>
      <c r="G108" s="19"/>
      <c r="H108" s="4"/>
      <c r="I108" s="4"/>
      <c r="J108" s="4"/>
      <c r="K108" s="4"/>
      <c r="L108" s="4"/>
      <c r="M108" s="4"/>
      <c r="N108" s="4"/>
      <c r="O108" s="4"/>
      <c r="P108" s="4"/>
      <c r="Q108" s="20"/>
      <c r="R108" s="5"/>
      <c r="S108" s="2"/>
    </row>
    <row r="109" spans="1:19" ht="46.5" outlineLevel="1" x14ac:dyDescent="0.4">
      <c r="A109" s="17"/>
      <c r="B109" s="26" t="s">
        <v>311</v>
      </c>
      <c r="C109" s="21" t="s">
        <v>312</v>
      </c>
      <c r="D109" s="27" t="s">
        <v>66</v>
      </c>
      <c r="E109" s="19"/>
      <c r="F109" s="19"/>
      <c r="G109" s="19"/>
      <c r="H109" s="4"/>
      <c r="I109" s="4"/>
      <c r="J109" s="4"/>
      <c r="K109" s="4"/>
      <c r="L109" s="4"/>
      <c r="M109" s="4"/>
      <c r="N109" s="4"/>
      <c r="O109" s="4"/>
      <c r="P109" s="4"/>
      <c r="Q109" s="20"/>
      <c r="R109" s="5"/>
      <c r="S109" s="2"/>
    </row>
    <row r="110" spans="1:19" ht="31" outlineLevel="1" x14ac:dyDescent="0.4">
      <c r="A110" s="17"/>
      <c r="B110" s="26" t="s">
        <v>316</v>
      </c>
      <c r="C110" s="21" t="s">
        <v>370</v>
      </c>
      <c r="D110" s="27" t="s">
        <v>317</v>
      </c>
      <c r="E110" s="19"/>
      <c r="F110" s="19"/>
      <c r="G110" s="19"/>
      <c r="H110" s="4"/>
      <c r="I110" s="4"/>
      <c r="J110" s="4"/>
      <c r="K110" s="4"/>
      <c r="L110" s="4"/>
      <c r="M110" s="4"/>
      <c r="N110" s="4"/>
      <c r="O110" s="4"/>
      <c r="P110" s="4"/>
      <c r="Q110" s="20"/>
      <c r="R110" s="5"/>
      <c r="S110" s="2"/>
    </row>
    <row r="111" spans="1:19" outlineLevel="1" x14ac:dyDescent="0.4">
      <c r="A111" s="17"/>
      <c r="B111" s="26"/>
      <c r="C111" s="21"/>
      <c r="D111" s="27"/>
      <c r="E111" s="19"/>
      <c r="F111" s="19"/>
      <c r="G111" s="19"/>
      <c r="H111" s="4"/>
      <c r="I111" s="4"/>
      <c r="J111" s="4"/>
      <c r="K111" s="4"/>
      <c r="L111" s="4"/>
      <c r="M111" s="4"/>
      <c r="N111" s="4"/>
      <c r="O111" s="4"/>
      <c r="P111" s="4"/>
      <c r="Q111" s="20"/>
      <c r="R111" s="5"/>
      <c r="S111" s="2"/>
    </row>
    <row r="112" spans="1:19" x14ac:dyDescent="0.4">
      <c r="A112" s="17" t="str">
        <f>IF(AND(D112="",D112=""),"",$D$3&amp;"_"&amp;ROW()-11-COUNTBLANK($D$12:D112))</f>
        <v/>
      </c>
      <c r="B112" s="25" t="s">
        <v>371</v>
      </c>
      <c r="C112" s="25"/>
      <c r="D112" s="25"/>
      <c r="E112" s="19"/>
      <c r="F112" s="19"/>
      <c r="G112" s="19"/>
      <c r="H112" s="4"/>
      <c r="I112" s="4"/>
      <c r="J112" s="4"/>
      <c r="K112" s="4"/>
      <c r="L112" s="4"/>
      <c r="M112" s="4"/>
      <c r="N112" s="4"/>
      <c r="O112" s="4"/>
      <c r="P112" s="4"/>
      <c r="Q112" s="20" t="str">
        <f t="shared" si="0"/>
        <v/>
      </c>
      <c r="R112" s="5"/>
      <c r="S112" s="2"/>
    </row>
    <row r="113" spans="1:19" outlineLevel="1" x14ac:dyDescent="0.4">
      <c r="A113" s="17" t="str">
        <f>IF(AND(D113="",D113=""),"",$D$3&amp;"_"&amp;ROW()-11-COUNTBLANK($D$12:D113))</f>
        <v>Register_82</v>
      </c>
      <c r="B113" s="56" t="s">
        <v>372</v>
      </c>
      <c r="C113" s="21" t="s">
        <v>373</v>
      </c>
      <c r="D113" s="24" t="s">
        <v>374</v>
      </c>
      <c r="E113" s="19"/>
      <c r="F113" s="19"/>
      <c r="G113" s="19"/>
      <c r="H113" s="4"/>
      <c r="I113" s="4"/>
      <c r="J113" s="4"/>
      <c r="K113" s="4"/>
      <c r="L113" s="4"/>
      <c r="M113" s="4"/>
      <c r="N113" s="4"/>
      <c r="O113" s="4"/>
      <c r="P113" s="4"/>
      <c r="Q113" s="20" t="str">
        <f t="shared" si="0"/>
        <v/>
      </c>
      <c r="R113" s="5"/>
      <c r="S113" s="2"/>
    </row>
    <row r="114" spans="1:19" outlineLevel="1" x14ac:dyDescent="0.4">
      <c r="A114" s="17" t="str">
        <f>IF(AND(D114="",D114=""),"",$D$3&amp;"_"&amp;ROW()-11-COUNTBLANK($D$12:D114))</f>
        <v>Register_83</v>
      </c>
      <c r="B114" s="56"/>
      <c r="C114" s="21" t="s">
        <v>375</v>
      </c>
      <c r="D114" s="27" t="s">
        <v>376</v>
      </c>
      <c r="E114" s="19"/>
      <c r="F114" s="19"/>
      <c r="G114" s="19"/>
      <c r="H114" s="4"/>
      <c r="I114" s="4"/>
      <c r="J114" s="4"/>
      <c r="K114" s="4"/>
      <c r="L114" s="4"/>
      <c r="M114" s="4"/>
      <c r="N114" s="4"/>
      <c r="O114" s="4"/>
      <c r="P114" s="4"/>
      <c r="Q114" s="20" t="str">
        <f t="shared" si="0"/>
        <v/>
      </c>
      <c r="R114" s="5"/>
      <c r="S114" s="2"/>
    </row>
    <row r="115" spans="1:19" outlineLevel="1" x14ac:dyDescent="0.4">
      <c r="A115" s="17"/>
      <c r="B115" s="56"/>
      <c r="C115" s="21" t="s">
        <v>377</v>
      </c>
      <c r="D115" s="27" t="s">
        <v>378</v>
      </c>
      <c r="E115" s="19"/>
      <c r="F115" s="19"/>
      <c r="G115" s="19"/>
      <c r="H115" s="4"/>
      <c r="I115" s="4"/>
      <c r="J115" s="4"/>
      <c r="K115" s="4"/>
      <c r="L115" s="4"/>
      <c r="M115" s="4"/>
      <c r="N115" s="4"/>
      <c r="O115" s="4"/>
      <c r="P115" s="4"/>
      <c r="Q115" s="20"/>
      <c r="R115" s="5"/>
      <c r="S115" s="2"/>
    </row>
    <row r="116" spans="1:19" outlineLevel="1" x14ac:dyDescent="0.4">
      <c r="A116" s="17" t="str">
        <f>IF(AND(D116="",D116=""),"",$D$3&amp;"_"&amp;ROW()-11-COUNTBLANK($D$12:D116))</f>
        <v>Register_85</v>
      </c>
      <c r="B116" s="56"/>
      <c r="C116" s="21" t="s">
        <v>379</v>
      </c>
      <c r="D116" s="27" t="s">
        <v>380</v>
      </c>
      <c r="E116" s="19"/>
      <c r="F116" s="19"/>
      <c r="G116" s="19"/>
      <c r="H116" s="4"/>
      <c r="I116" s="4"/>
      <c r="J116" s="4"/>
      <c r="K116" s="4"/>
      <c r="L116" s="4"/>
      <c r="M116" s="4"/>
      <c r="N116" s="4"/>
      <c r="O116" s="4"/>
      <c r="P116" s="4"/>
      <c r="Q116" s="20" t="str">
        <f t="shared" si="0"/>
        <v/>
      </c>
      <c r="R116" s="5"/>
      <c r="S116" s="2"/>
    </row>
    <row r="117" spans="1:19" outlineLevel="1" x14ac:dyDescent="0.4">
      <c r="A117" s="17"/>
      <c r="B117" s="56" t="s">
        <v>381</v>
      </c>
      <c r="C117" s="21" t="s">
        <v>382</v>
      </c>
      <c r="D117" s="27" t="s">
        <v>383</v>
      </c>
      <c r="E117" s="19"/>
      <c r="F117" s="19"/>
      <c r="G117" s="19"/>
      <c r="H117" s="4"/>
      <c r="I117" s="4"/>
      <c r="J117" s="4"/>
      <c r="K117" s="4"/>
      <c r="L117" s="4"/>
      <c r="M117" s="4"/>
      <c r="N117" s="4"/>
      <c r="O117" s="4"/>
      <c r="P117" s="4"/>
      <c r="Q117" s="20"/>
      <c r="R117" s="5"/>
      <c r="S117" s="2"/>
    </row>
    <row r="118" spans="1:19" outlineLevel="1" x14ac:dyDescent="0.4">
      <c r="A118" s="17"/>
      <c r="B118" s="56"/>
      <c r="C118" s="21" t="s">
        <v>384</v>
      </c>
      <c r="D118" s="27" t="s">
        <v>383</v>
      </c>
      <c r="E118" s="19"/>
      <c r="F118" s="19"/>
      <c r="G118" s="19"/>
      <c r="H118" s="4"/>
      <c r="I118" s="4"/>
      <c r="J118" s="4"/>
      <c r="K118" s="4"/>
      <c r="L118" s="4"/>
      <c r="M118" s="4"/>
      <c r="N118" s="4"/>
      <c r="O118" s="4"/>
      <c r="P118" s="4"/>
      <c r="Q118" s="20"/>
      <c r="R118" s="5"/>
      <c r="S118" s="2"/>
    </row>
    <row r="119" spans="1:19" outlineLevel="1" x14ac:dyDescent="0.4">
      <c r="A119" s="17"/>
      <c r="B119" s="56"/>
      <c r="C119" s="59" t="s">
        <v>385</v>
      </c>
      <c r="D119" s="27" t="s">
        <v>218</v>
      </c>
      <c r="E119" s="19"/>
      <c r="F119" s="19"/>
      <c r="G119" s="19"/>
      <c r="H119" s="4"/>
      <c r="I119" s="4"/>
      <c r="J119" s="4"/>
      <c r="K119" s="4"/>
      <c r="L119" s="4"/>
      <c r="M119" s="4"/>
      <c r="N119" s="4"/>
      <c r="O119" s="4"/>
      <c r="P119" s="4"/>
      <c r="Q119" s="20"/>
      <c r="R119" s="5"/>
      <c r="S119" s="2"/>
    </row>
    <row r="120" spans="1:19" outlineLevel="1" x14ac:dyDescent="0.4">
      <c r="A120" s="17"/>
      <c r="B120" s="26"/>
      <c r="C120" s="21"/>
      <c r="D120" s="27"/>
      <c r="E120" s="19"/>
      <c r="F120" s="19"/>
      <c r="G120" s="19"/>
      <c r="H120" s="4"/>
      <c r="I120" s="4"/>
      <c r="J120" s="4"/>
      <c r="K120" s="4"/>
      <c r="L120" s="4"/>
      <c r="M120" s="4"/>
      <c r="N120" s="4"/>
      <c r="O120" s="4"/>
      <c r="P120" s="4"/>
      <c r="Q120" s="20"/>
      <c r="R120" s="5"/>
      <c r="S120" s="2"/>
    </row>
    <row r="121" spans="1:19" outlineLevel="1" x14ac:dyDescent="0.4">
      <c r="A121" s="17"/>
      <c r="B121" s="26"/>
      <c r="C121" s="21"/>
      <c r="D121" s="27"/>
      <c r="E121" s="19"/>
      <c r="F121" s="19"/>
      <c r="G121" s="19"/>
      <c r="H121" s="4"/>
      <c r="I121" s="4"/>
      <c r="J121" s="4"/>
      <c r="K121" s="4"/>
      <c r="L121" s="4"/>
      <c r="M121" s="4"/>
      <c r="N121" s="4"/>
      <c r="O121" s="4"/>
      <c r="P121" s="4"/>
      <c r="Q121" s="20"/>
      <c r="R121" s="5"/>
      <c r="S121" s="2"/>
    </row>
    <row r="122" spans="1:19" outlineLevel="1" x14ac:dyDescent="0.4">
      <c r="A122" s="17"/>
      <c r="B122" s="26"/>
      <c r="C122" s="21"/>
      <c r="D122" s="27"/>
      <c r="E122" s="19"/>
      <c r="F122" s="19"/>
      <c r="G122" s="19"/>
      <c r="H122" s="4"/>
      <c r="I122" s="4"/>
      <c r="J122" s="4"/>
      <c r="K122" s="4"/>
      <c r="L122" s="4"/>
      <c r="M122" s="4"/>
      <c r="N122" s="4"/>
      <c r="O122" s="4"/>
      <c r="P122" s="4"/>
      <c r="Q122" s="20"/>
      <c r="R122" s="5"/>
      <c r="S122" s="2"/>
    </row>
    <row r="123" spans="1:19" outlineLevel="1" x14ac:dyDescent="0.4">
      <c r="A123" s="17"/>
      <c r="B123" s="26"/>
      <c r="C123" s="21"/>
      <c r="D123" s="27"/>
      <c r="E123" s="19"/>
      <c r="F123" s="19"/>
      <c r="G123" s="19"/>
      <c r="H123" s="4"/>
      <c r="I123" s="4"/>
      <c r="J123" s="4"/>
      <c r="K123" s="4"/>
      <c r="L123" s="4"/>
      <c r="M123" s="4"/>
      <c r="N123" s="4"/>
      <c r="O123" s="4"/>
      <c r="P123" s="4"/>
      <c r="Q123" s="20"/>
      <c r="R123" s="5"/>
      <c r="S123" s="2"/>
    </row>
    <row r="124" spans="1:19" x14ac:dyDescent="0.4">
      <c r="A124" s="17" t="str">
        <f>IF(AND(D124="",D124=""),"",$D$3&amp;"_"&amp;ROW()-11-COUNTBLANK($D$12:D124))</f>
        <v/>
      </c>
      <c r="B124" s="25" t="s">
        <v>386</v>
      </c>
      <c r="C124" s="25"/>
      <c r="D124" s="25"/>
      <c r="E124" s="19"/>
      <c r="F124" s="19"/>
      <c r="G124" s="19"/>
      <c r="H124" s="4"/>
      <c r="I124" s="4"/>
      <c r="J124" s="4"/>
      <c r="K124" s="4"/>
      <c r="L124" s="4"/>
      <c r="M124" s="4"/>
      <c r="N124" s="4"/>
      <c r="O124" s="4"/>
      <c r="P124" s="4"/>
      <c r="Q124" s="20" t="str">
        <f t="shared" si="0"/>
        <v/>
      </c>
      <c r="R124" s="5"/>
      <c r="S124" s="2"/>
    </row>
    <row r="125" spans="1:19" ht="31" outlineLevel="1" x14ac:dyDescent="0.4">
      <c r="A125" s="17" t="str">
        <f>IF(AND(D125="",D125=""),"",$D$3&amp;"_"&amp;ROW()-11-COUNTBLANK($D$12:D125))</f>
        <v>Register_89</v>
      </c>
      <c r="B125" s="24" t="s">
        <v>42</v>
      </c>
      <c r="C125" s="21" t="s">
        <v>295</v>
      </c>
      <c r="D125" s="27" t="s">
        <v>44</v>
      </c>
      <c r="E125" s="19"/>
      <c r="F125" s="19"/>
      <c r="G125" s="19"/>
      <c r="H125" s="4"/>
      <c r="I125" s="4"/>
      <c r="J125" s="4"/>
      <c r="K125" s="4"/>
      <c r="L125" s="4"/>
      <c r="M125" s="4"/>
      <c r="N125" s="4"/>
      <c r="O125" s="4"/>
      <c r="P125" s="4"/>
      <c r="Q125" s="20" t="str">
        <f t="shared" si="0"/>
        <v/>
      </c>
      <c r="R125" s="5"/>
      <c r="S125" s="2"/>
    </row>
    <row r="126" spans="1:19" ht="31" outlineLevel="1" x14ac:dyDescent="0.4">
      <c r="A126" s="17" t="str">
        <f>IF(AND(D126="",D126=""),"",$D$3&amp;"_"&amp;ROW()-11-COUNTBLANK($D$12:D126))</f>
        <v>Register_90</v>
      </c>
      <c r="B126" s="26" t="s">
        <v>45</v>
      </c>
      <c r="C126" s="21" t="s">
        <v>328</v>
      </c>
      <c r="D126" s="27" t="s">
        <v>387</v>
      </c>
      <c r="E126" s="19"/>
      <c r="F126" s="19"/>
      <c r="G126" s="19"/>
      <c r="H126" s="4"/>
      <c r="I126" s="4"/>
      <c r="J126" s="4"/>
      <c r="K126" s="4"/>
      <c r="L126" s="4"/>
      <c r="M126" s="4"/>
      <c r="N126" s="4"/>
      <c r="O126" s="4"/>
      <c r="P126" s="4"/>
      <c r="Q126" s="20" t="str">
        <f t="shared" si="0"/>
        <v/>
      </c>
      <c r="R126" s="5"/>
      <c r="S126" s="2"/>
    </row>
    <row r="127" spans="1:19" outlineLevel="1" x14ac:dyDescent="0.4">
      <c r="A127" s="17" t="str">
        <f>IF(AND(D127="",D127=""),"",$D$3&amp;"_"&amp;ROW()-11-COUNTBLANK($D$12:D127))</f>
        <v>Register_91</v>
      </c>
      <c r="B127" s="60" t="s">
        <v>388</v>
      </c>
      <c r="C127" s="34" t="s">
        <v>389</v>
      </c>
      <c r="D127" s="27" t="s">
        <v>390</v>
      </c>
      <c r="E127" s="19"/>
      <c r="F127" s="19"/>
      <c r="G127" s="19"/>
      <c r="H127" s="4"/>
      <c r="I127" s="4"/>
      <c r="J127" s="4"/>
      <c r="K127" s="4"/>
      <c r="L127" s="4"/>
      <c r="M127" s="4"/>
      <c r="N127" s="4"/>
      <c r="O127" s="4"/>
      <c r="P127" s="4"/>
      <c r="Q127" s="20" t="str">
        <f t="shared" si="0"/>
        <v/>
      </c>
      <c r="R127" s="5"/>
      <c r="S127" s="2"/>
    </row>
    <row r="128" spans="1:19" outlineLevel="1" x14ac:dyDescent="0.4">
      <c r="A128" s="17" t="str">
        <f>IF(AND(D128="",D128=""),"",$D$3&amp;"_"&amp;ROW()-11-COUNTBLANK($D$12:D128))</f>
        <v>Register_92</v>
      </c>
      <c r="B128" s="60"/>
      <c r="C128" s="34" t="s">
        <v>391</v>
      </c>
      <c r="D128" s="27" t="s">
        <v>353</v>
      </c>
      <c r="E128" s="19"/>
      <c r="F128" s="19"/>
      <c r="G128" s="19"/>
      <c r="H128" s="4"/>
      <c r="I128" s="4"/>
      <c r="J128" s="4"/>
      <c r="K128" s="4"/>
      <c r="L128" s="4"/>
      <c r="M128" s="4"/>
      <c r="N128" s="4"/>
      <c r="O128" s="4"/>
      <c r="P128" s="4"/>
      <c r="Q128" s="20" t="str">
        <f t="shared" si="0"/>
        <v/>
      </c>
      <c r="R128" s="5"/>
      <c r="S128" s="2"/>
    </row>
    <row r="129" spans="1:19" outlineLevel="1" x14ac:dyDescent="0.4">
      <c r="A129" s="17" t="str">
        <f>IF(AND(D129="",D129=""),"",$D$3&amp;"_"&amp;ROW()-11-COUNTBLANK($D$12:D129))</f>
        <v>Register_93</v>
      </c>
      <c r="B129" s="60"/>
      <c r="C129" s="34" t="s">
        <v>392</v>
      </c>
      <c r="D129" s="27" t="s">
        <v>353</v>
      </c>
      <c r="E129" s="19"/>
      <c r="F129" s="19"/>
      <c r="G129" s="19"/>
      <c r="H129" s="4"/>
      <c r="I129" s="4"/>
      <c r="J129" s="4"/>
      <c r="K129" s="4"/>
      <c r="L129" s="4"/>
      <c r="M129" s="4"/>
      <c r="N129" s="4"/>
      <c r="O129" s="4"/>
      <c r="P129" s="4"/>
      <c r="Q129" s="20" t="str">
        <f t="shared" si="0"/>
        <v/>
      </c>
      <c r="R129" s="5"/>
      <c r="S129" s="2"/>
    </row>
    <row r="130" spans="1:19" outlineLevel="1" x14ac:dyDescent="0.4">
      <c r="A130" s="17" t="str">
        <f>IF(AND(D130="",D130=""),"",$D$3&amp;"_"&amp;ROW()-11-COUNTBLANK($D$12:D130))</f>
        <v>Register_94</v>
      </c>
      <c r="B130" s="60"/>
      <c r="C130" s="61" t="s">
        <v>393</v>
      </c>
      <c r="D130" s="27" t="s">
        <v>353</v>
      </c>
      <c r="E130" s="19"/>
      <c r="F130" s="19"/>
      <c r="G130" s="19"/>
      <c r="H130" s="4"/>
      <c r="I130" s="4"/>
      <c r="J130" s="4"/>
      <c r="K130" s="4"/>
      <c r="L130" s="4"/>
      <c r="M130" s="4"/>
      <c r="N130" s="4"/>
      <c r="O130" s="4"/>
      <c r="P130" s="4"/>
      <c r="Q130" s="20" t="str">
        <f t="shared" si="0"/>
        <v/>
      </c>
      <c r="R130" s="5"/>
      <c r="S130" s="2"/>
    </row>
    <row r="131" spans="1:19" outlineLevel="1" x14ac:dyDescent="0.4">
      <c r="A131" s="17" t="str">
        <f>IF(AND(D131="",D131=""),"",$D$3&amp;"_"&amp;ROW()-11-COUNTBLANK($D$12:D131))</f>
        <v>Register_95</v>
      </c>
      <c r="B131" s="60"/>
      <c r="C131" s="61" t="s">
        <v>394</v>
      </c>
      <c r="D131" s="27" t="s">
        <v>218</v>
      </c>
      <c r="E131" s="19"/>
      <c r="F131" s="19"/>
      <c r="G131" s="19"/>
      <c r="H131" s="4"/>
      <c r="I131" s="4"/>
      <c r="J131" s="4"/>
      <c r="K131" s="4"/>
      <c r="L131" s="4"/>
      <c r="M131" s="4"/>
      <c r="N131" s="4"/>
      <c r="O131" s="4"/>
      <c r="P131" s="4"/>
      <c r="Q131" s="20" t="str">
        <f t="shared" si="0"/>
        <v/>
      </c>
      <c r="R131" s="5"/>
      <c r="S131" s="2"/>
    </row>
    <row r="132" spans="1:19" x14ac:dyDescent="0.4">
      <c r="A132" s="17" t="str">
        <f>IF(AND(D132="",D132=""),"",$D$3&amp;"_"&amp;ROW()-11-COUNTBLANK($D$12:D132))</f>
        <v/>
      </c>
      <c r="B132" s="25" t="s">
        <v>395</v>
      </c>
      <c r="C132" s="25"/>
      <c r="D132" s="25"/>
      <c r="E132" s="19"/>
      <c r="F132" s="19"/>
      <c r="G132" s="19"/>
      <c r="H132" s="4"/>
      <c r="I132" s="4"/>
      <c r="J132" s="4"/>
      <c r="K132" s="4"/>
      <c r="L132" s="4"/>
      <c r="M132" s="4"/>
      <c r="N132" s="4"/>
      <c r="O132" s="4"/>
      <c r="P132" s="4"/>
      <c r="Q132" s="20" t="str">
        <f t="shared" si="0"/>
        <v/>
      </c>
      <c r="R132" s="5"/>
      <c r="S132" s="2"/>
    </row>
    <row r="133" spans="1:19" ht="31" outlineLevel="1" x14ac:dyDescent="0.4">
      <c r="A133" s="17" t="str">
        <f>IF(AND(D133="",D133=""),"",$D$3&amp;"_"&amp;ROW()-11-COUNTBLANK($D$12:D133))</f>
        <v>Register_96</v>
      </c>
      <c r="B133" s="24" t="s">
        <v>42</v>
      </c>
      <c r="C133" s="21" t="s">
        <v>295</v>
      </c>
      <c r="D133" s="27" t="s">
        <v>206</v>
      </c>
      <c r="E133" s="19"/>
      <c r="F133" s="19"/>
      <c r="G133" s="19"/>
      <c r="H133" s="4"/>
      <c r="I133" s="4"/>
      <c r="J133" s="4"/>
      <c r="K133" s="4"/>
      <c r="L133" s="4"/>
      <c r="M133" s="4"/>
      <c r="N133" s="4"/>
      <c r="O133" s="4"/>
      <c r="P133" s="4"/>
      <c r="Q133" s="20" t="str">
        <f t="shared" si="0"/>
        <v/>
      </c>
      <c r="R133" s="5"/>
      <c r="S133" s="2"/>
    </row>
    <row r="134" spans="1:19" ht="31" outlineLevel="1" x14ac:dyDescent="0.4">
      <c r="A134" s="17" t="str">
        <f>IF(AND(D134="",D134=""),"",$D$3&amp;"_"&amp;ROW()-11-COUNTBLANK($D$12:D134))</f>
        <v>Register_97</v>
      </c>
      <c r="B134" s="26" t="s">
        <v>45</v>
      </c>
      <c r="C134" s="21" t="s">
        <v>328</v>
      </c>
      <c r="D134" s="27" t="s">
        <v>305</v>
      </c>
      <c r="E134" s="19"/>
      <c r="F134" s="19"/>
      <c r="G134" s="19"/>
      <c r="H134" s="4"/>
      <c r="I134" s="4"/>
      <c r="J134" s="4"/>
      <c r="K134" s="4"/>
      <c r="L134" s="4"/>
      <c r="M134" s="4"/>
      <c r="N134" s="4"/>
      <c r="O134" s="4"/>
      <c r="P134" s="4"/>
      <c r="Q134" s="20" t="str">
        <f t="shared" si="0"/>
        <v/>
      </c>
      <c r="R134" s="5"/>
      <c r="S134" s="2"/>
    </row>
    <row r="135" spans="1:19" ht="46.5" outlineLevel="1" x14ac:dyDescent="0.4">
      <c r="A135" s="17" t="str">
        <f>IF(AND(D135="",D135=""),"",$D$3&amp;"_"&amp;ROW()-11-COUNTBLANK($D$12:D135))</f>
        <v>Register_98</v>
      </c>
      <c r="B135" s="57" t="s">
        <v>48</v>
      </c>
      <c r="C135" s="31" t="s">
        <v>329</v>
      </c>
      <c r="D135" s="31" t="s">
        <v>52</v>
      </c>
      <c r="E135" s="19"/>
      <c r="F135" s="19"/>
      <c r="G135" s="19"/>
      <c r="H135" s="4"/>
      <c r="I135" s="4"/>
      <c r="J135" s="4"/>
      <c r="K135" s="4"/>
      <c r="L135" s="4"/>
      <c r="M135" s="4"/>
      <c r="N135" s="4"/>
      <c r="O135" s="4"/>
      <c r="P135" s="4"/>
      <c r="Q135" s="20" t="str">
        <f t="shared" si="0"/>
        <v/>
      </c>
      <c r="R135" s="5"/>
      <c r="S135" s="2"/>
    </row>
    <row r="136" spans="1:19" ht="31" outlineLevel="1" x14ac:dyDescent="0.4">
      <c r="A136" s="17" t="str">
        <f>IF(AND(D136="",D136=""),"",$D$3&amp;"_"&amp;ROW()-11-COUNTBLANK($D$12:D136))</f>
        <v>Register_99</v>
      </c>
      <c r="B136" s="57"/>
      <c r="C136" s="31" t="s">
        <v>291</v>
      </c>
      <c r="D136" s="31" t="s">
        <v>52</v>
      </c>
      <c r="E136" s="19"/>
      <c r="F136" s="19"/>
      <c r="G136" s="19"/>
      <c r="H136" s="4"/>
      <c r="I136" s="4"/>
      <c r="J136" s="4"/>
      <c r="K136" s="4"/>
      <c r="L136" s="4"/>
      <c r="M136" s="4"/>
      <c r="N136" s="4"/>
      <c r="O136" s="4"/>
      <c r="P136" s="4"/>
      <c r="Q136" s="20" t="str">
        <f t="shared" si="0"/>
        <v/>
      </c>
      <c r="R136" s="5"/>
      <c r="S136" s="2"/>
    </row>
    <row r="137" spans="1:19" ht="31" outlineLevel="1" x14ac:dyDescent="0.4">
      <c r="A137" s="17" t="str">
        <f>IF(AND(D137="",D137=""),"",$D$3&amp;"_"&amp;ROW()-11-COUNTBLANK($D$12:D137))</f>
        <v>Register_100</v>
      </c>
      <c r="B137" s="57"/>
      <c r="C137" s="31" t="s">
        <v>292</v>
      </c>
      <c r="D137" s="31" t="s">
        <v>52</v>
      </c>
      <c r="E137" s="19"/>
      <c r="F137" s="19"/>
      <c r="G137" s="19"/>
      <c r="H137" s="4"/>
      <c r="I137" s="4"/>
      <c r="J137" s="4"/>
      <c r="K137" s="4"/>
      <c r="L137" s="4"/>
      <c r="M137" s="4"/>
      <c r="N137" s="4"/>
      <c r="O137" s="4"/>
      <c r="P137" s="4"/>
      <c r="Q137" s="20" t="str">
        <f t="shared" si="0"/>
        <v/>
      </c>
      <c r="R137" s="5"/>
      <c r="S137" s="2"/>
    </row>
    <row r="138" spans="1:19" ht="31" outlineLevel="1" x14ac:dyDescent="0.4">
      <c r="A138" s="17" t="str">
        <f>IF(AND(D138="",D138=""),"",$D$3&amp;"_"&amp;ROW()-11-COUNTBLANK($D$12:D138))</f>
        <v>Register_101</v>
      </c>
      <c r="B138" s="57"/>
      <c r="C138" s="31" t="s">
        <v>293</v>
      </c>
      <c r="D138" s="31" t="s">
        <v>52</v>
      </c>
      <c r="E138" s="19"/>
      <c r="F138" s="19"/>
      <c r="G138" s="19"/>
      <c r="H138" s="4"/>
      <c r="I138" s="4"/>
      <c r="J138" s="4"/>
      <c r="K138" s="4"/>
      <c r="L138" s="4"/>
      <c r="M138" s="4"/>
      <c r="N138" s="4"/>
      <c r="O138" s="4"/>
      <c r="P138" s="4"/>
      <c r="Q138" s="20" t="str">
        <f t="shared" si="0"/>
        <v/>
      </c>
      <c r="R138" s="5"/>
      <c r="S138" s="2"/>
    </row>
    <row r="139" spans="1:19" ht="31" outlineLevel="1" x14ac:dyDescent="0.4">
      <c r="A139" s="17" t="str">
        <f>IF(AND(D139="",D139=""),"",$D$3&amp;"_"&amp;ROW()-11-COUNTBLANK($D$12:D139))</f>
        <v>Register_102</v>
      </c>
      <c r="B139" s="57"/>
      <c r="C139" s="31" t="s">
        <v>330</v>
      </c>
      <c r="D139" s="31" t="s">
        <v>52</v>
      </c>
      <c r="E139" s="19"/>
      <c r="F139" s="19"/>
      <c r="G139" s="19"/>
      <c r="H139" s="4"/>
      <c r="I139" s="4"/>
      <c r="J139" s="4"/>
      <c r="K139" s="4"/>
      <c r="L139" s="4"/>
      <c r="M139" s="4"/>
      <c r="N139" s="4"/>
      <c r="O139" s="4"/>
      <c r="P139" s="4"/>
      <c r="Q139" s="20" t="str">
        <f t="shared" si="0"/>
        <v/>
      </c>
      <c r="R139" s="5"/>
      <c r="S139" s="2"/>
    </row>
    <row r="140" spans="1:19" x14ac:dyDescent="0.4">
      <c r="A140" s="17" t="str">
        <f>IF(AND(D140="",D140=""),"",$D$3&amp;"_"&amp;ROW()-11-COUNTBLANK($D$12:D140))</f>
        <v/>
      </c>
      <c r="B140" s="25" t="s">
        <v>396</v>
      </c>
      <c r="C140" s="25"/>
      <c r="D140" s="25"/>
      <c r="E140" s="19"/>
      <c r="F140" s="19"/>
      <c r="G140" s="19"/>
      <c r="H140" s="4"/>
      <c r="I140" s="4"/>
      <c r="J140" s="4"/>
      <c r="K140" s="4"/>
      <c r="L140" s="4"/>
      <c r="M140" s="4"/>
      <c r="N140" s="4"/>
      <c r="O140" s="4"/>
      <c r="P140" s="4"/>
      <c r="Q140" s="20" t="str">
        <f t="shared" si="0"/>
        <v/>
      </c>
      <c r="R140" s="5"/>
      <c r="S140" s="2"/>
    </row>
    <row r="141" spans="1:19" ht="31" outlineLevel="1" x14ac:dyDescent="0.4">
      <c r="A141" s="17" t="str">
        <f>IF(AND(D141="",D141=""),"",$D$3&amp;"_"&amp;ROW()-11-COUNTBLANK($D$12:D141))</f>
        <v>Register_103</v>
      </c>
      <c r="B141" s="24" t="s">
        <v>42</v>
      </c>
      <c r="C141" s="21" t="s">
        <v>295</v>
      </c>
      <c r="D141" s="27" t="s">
        <v>206</v>
      </c>
      <c r="E141" s="19"/>
      <c r="F141" s="19"/>
      <c r="G141" s="19"/>
      <c r="H141" s="4"/>
      <c r="I141" s="4"/>
      <c r="J141" s="4"/>
      <c r="K141" s="4"/>
      <c r="L141" s="4"/>
      <c r="M141" s="4"/>
      <c r="N141" s="4"/>
      <c r="O141" s="4"/>
      <c r="P141" s="4"/>
      <c r="Q141" s="20" t="str">
        <f t="shared" si="0"/>
        <v/>
      </c>
      <c r="R141" s="5"/>
      <c r="S141" s="2"/>
    </row>
    <row r="142" spans="1:19" ht="31" outlineLevel="1" x14ac:dyDescent="0.4">
      <c r="A142" s="17" t="str">
        <f>IF(AND(D142="",D142=""),"",$D$3&amp;"_"&amp;ROW()-11-COUNTBLANK($D$12:D142))</f>
        <v>Register_104</v>
      </c>
      <c r="B142" s="26" t="s">
        <v>45</v>
      </c>
      <c r="C142" s="21" t="s">
        <v>328</v>
      </c>
      <c r="D142" s="27" t="s">
        <v>305</v>
      </c>
      <c r="E142" s="19"/>
      <c r="F142" s="19"/>
      <c r="G142" s="19"/>
      <c r="H142" s="4"/>
      <c r="I142" s="4"/>
      <c r="J142" s="4"/>
      <c r="K142" s="4"/>
      <c r="L142" s="4"/>
      <c r="M142" s="4"/>
      <c r="N142" s="4"/>
      <c r="O142" s="4"/>
      <c r="P142" s="4"/>
      <c r="Q142" s="20" t="str">
        <f t="shared" si="0"/>
        <v/>
      </c>
      <c r="R142" s="5"/>
      <c r="S142" s="2"/>
    </row>
    <row r="143" spans="1:19" ht="46.5" outlineLevel="1" x14ac:dyDescent="0.4">
      <c r="A143" s="17" t="str">
        <f>IF(AND(D143="",D143=""),"",$D$3&amp;"_"&amp;ROW()-11-COUNTBLANK($D$12:D143))</f>
        <v>Register_105</v>
      </c>
      <c r="B143" s="57" t="s">
        <v>48</v>
      </c>
      <c r="C143" s="31" t="s">
        <v>329</v>
      </c>
      <c r="D143" s="31" t="s">
        <v>52</v>
      </c>
      <c r="E143" s="19"/>
      <c r="F143" s="19"/>
      <c r="G143" s="19"/>
      <c r="H143" s="4"/>
      <c r="I143" s="4"/>
      <c r="J143" s="4"/>
      <c r="K143" s="4"/>
      <c r="L143" s="4"/>
      <c r="M143" s="4"/>
      <c r="N143" s="4"/>
      <c r="O143" s="4"/>
      <c r="P143" s="4"/>
      <c r="Q143" s="20" t="str">
        <f t="shared" si="0"/>
        <v/>
      </c>
      <c r="R143" s="5"/>
      <c r="S143" s="2"/>
    </row>
    <row r="144" spans="1:19" ht="31" outlineLevel="1" x14ac:dyDescent="0.4">
      <c r="A144" s="17" t="str">
        <f>IF(AND(D144="",D144=""),"",$D$3&amp;"_"&amp;ROW()-11-COUNTBLANK($D$12:D144))</f>
        <v>Register_106</v>
      </c>
      <c r="B144" s="57"/>
      <c r="C144" s="31" t="s">
        <v>291</v>
      </c>
      <c r="D144" s="31" t="s">
        <v>52</v>
      </c>
      <c r="E144" s="19"/>
      <c r="F144" s="19"/>
      <c r="G144" s="19"/>
      <c r="H144" s="4"/>
      <c r="I144" s="4"/>
      <c r="J144" s="4"/>
      <c r="K144" s="4"/>
      <c r="L144" s="4"/>
      <c r="M144" s="4"/>
      <c r="N144" s="4"/>
      <c r="O144" s="4"/>
      <c r="P144" s="4"/>
      <c r="Q144" s="20" t="str">
        <f t="shared" si="0"/>
        <v/>
      </c>
      <c r="R144" s="5"/>
      <c r="S144" s="2"/>
    </row>
    <row r="145" spans="1:19" ht="31" outlineLevel="1" x14ac:dyDescent="0.4">
      <c r="A145" s="17" t="str">
        <f>IF(AND(D145="",D145=""),"",$D$3&amp;"_"&amp;ROW()-11-COUNTBLANK($D$12:D145))</f>
        <v>Register_107</v>
      </c>
      <c r="B145" s="57"/>
      <c r="C145" s="31" t="s">
        <v>292</v>
      </c>
      <c r="D145" s="31" t="s">
        <v>52</v>
      </c>
      <c r="E145" s="19"/>
      <c r="F145" s="19"/>
      <c r="G145" s="19"/>
      <c r="H145" s="4"/>
      <c r="I145" s="4"/>
      <c r="J145" s="4"/>
      <c r="K145" s="4"/>
      <c r="L145" s="4"/>
      <c r="M145" s="4"/>
      <c r="N145" s="4"/>
      <c r="O145" s="4"/>
      <c r="P145" s="4"/>
      <c r="Q145" s="20" t="str">
        <f t="shared" si="0"/>
        <v/>
      </c>
      <c r="R145" s="5"/>
      <c r="S145" s="2"/>
    </row>
    <row r="146" spans="1:19" ht="31" outlineLevel="1" x14ac:dyDescent="0.4">
      <c r="A146" s="17" t="str">
        <f>IF(AND(D146="",D146=""),"",$D$3&amp;"_"&amp;ROW()-11-COUNTBLANK($D$12:D146))</f>
        <v>Register_108</v>
      </c>
      <c r="B146" s="57"/>
      <c r="C146" s="31" t="s">
        <v>293</v>
      </c>
      <c r="D146" s="31" t="s">
        <v>52</v>
      </c>
      <c r="E146" s="19"/>
      <c r="F146" s="19"/>
      <c r="G146" s="19"/>
      <c r="H146" s="4"/>
      <c r="I146" s="4"/>
      <c r="J146" s="4"/>
      <c r="K146" s="4"/>
      <c r="L146" s="4"/>
      <c r="M146" s="4"/>
      <c r="N146" s="4"/>
      <c r="O146" s="4"/>
      <c r="P146" s="4"/>
      <c r="Q146" s="20" t="str">
        <f t="shared" si="0"/>
        <v/>
      </c>
      <c r="R146" s="5"/>
      <c r="S146" s="2"/>
    </row>
    <row r="147" spans="1:19" ht="31" outlineLevel="1" x14ac:dyDescent="0.4">
      <c r="A147" s="17" t="str">
        <f>IF(AND(D147="",D147=""),"",$D$3&amp;"_"&amp;ROW()-11-COUNTBLANK($D$12:D147))</f>
        <v>Register_109</v>
      </c>
      <c r="B147" s="57"/>
      <c r="C147" s="31" t="s">
        <v>330</v>
      </c>
      <c r="D147" s="31" t="s">
        <v>52</v>
      </c>
      <c r="E147" s="19"/>
      <c r="F147" s="19"/>
      <c r="G147" s="19"/>
      <c r="H147" s="4"/>
      <c r="I147" s="4"/>
      <c r="J147" s="4"/>
      <c r="K147" s="4"/>
      <c r="L147" s="4"/>
      <c r="M147" s="4"/>
      <c r="N147" s="4"/>
      <c r="O147" s="4"/>
      <c r="P147" s="4"/>
      <c r="Q147" s="20" t="str">
        <f t="shared" si="0"/>
        <v/>
      </c>
      <c r="R147" s="5"/>
      <c r="S147" s="2"/>
    </row>
    <row r="148" spans="1:19" x14ac:dyDescent="0.4">
      <c r="A148" s="17" t="str">
        <f>IF(AND(D148="",D148=""),"",$D$3&amp;"_"&amp;ROW()-11-COUNTBLANK($D$12:D148))</f>
        <v/>
      </c>
      <c r="B148" s="25" t="s">
        <v>397</v>
      </c>
      <c r="C148" s="25"/>
      <c r="D148" s="25"/>
      <c r="E148" s="19"/>
      <c r="F148" s="19"/>
      <c r="G148" s="19"/>
      <c r="H148" s="4"/>
      <c r="I148" s="4"/>
      <c r="J148" s="4"/>
      <c r="K148" s="4"/>
      <c r="L148" s="4"/>
      <c r="M148" s="4"/>
      <c r="N148" s="4"/>
      <c r="O148" s="4"/>
      <c r="P148" s="4"/>
      <c r="Q148" s="20" t="str">
        <f t="shared" si="0"/>
        <v/>
      </c>
      <c r="R148" s="5"/>
      <c r="S148" s="2"/>
    </row>
    <row r="149" spans="1:19" ht="31" outlineLevel="1" x14ac:dyDescent="0.4">
      <c r="A149" s="17" t="str">
        <f>IF(AND(D149="",D149=""),"",$D$3&amp;"_"&amp;ROW()-11-COUNTBLANK($D$12:D149))</f>
        <v>Register_110</v>
      </c>
      <c r="B149" s="24" t="s">
        <v>42</v>
      </c>
      <c r="C149" s="21" t="s">
        <v>295</v>
      </c>
      <c r="D149" s="27" t="s">
        <v>206</v>
      </c>
      <c r="E149" s="19"/>
      <c r="F149" s="19"/>
      <c r="G149" s="19"/>
      <c r="H149" s="4"/>
      <c r="I149" s="4"/>
      <c r="J149" s="4"/>
      <c r="K149" s="4"/>
      <c r="L149" s="4"/>
      <c r="M149" s="4"/>
      <c r="N149" s="4"/>
      <c r="O149" s="4"/>
      <c r="P149" s="4"/>
      <c r="Q149" s="20" t="str">
        <f t="shared" si="0"/>
        <v/>
      </c>
      <c r="R149" s="5"/>
      <c r="S149" s="2"/>
    </row>
    <row r="150" spans="1:19" ht="31" outlineLevel="1" x14ac:dyDescent="0.4">
      <c r="A150" s="17" t="str">
        <f>IF(AND(D150="",D150=""),"",$D$3&amp;"_"&amp;ROW()-11-COUNTBLANK($D$12:D150))</f>
        <v>Register_111</v>
      </c>
      <c r="B150" s="26" t="s">
        <v>45</v>
      </c>
      <c r="C150" s="21" t="s">
        <v>328</v>
      </c>
      <c r="D150" s="27" t="s">
        <v>305</v>
      </c>
      <c r="E150" s="19"/>
      <c r="F150" s="19"/>
      <c r="G150" s="19"/>
      <c r="H150" s="4"/>
      <c r="I150" s="4"/>
      <c r="J150" s="4"/>
      <c r="K150" s="4"/>
      <c r="L150" s="4"/>
      <c r="M150" s="4"/>
      <c r="N150" s="4"/>
      <c r="O150" s="4"/>
      <c r="P150" s="4"/>
      <c r="Q150" s="20" t="str">
        <f t="shared" si="0"/>
        <v/>
      </c>
      <c r="R150" s="5"/>
      <c r="S150" s="2"/>
    </row>
    <row r="151" spans="1:19" ht="46.5" outlineLevel="1" x14ac:dyDescent="0.4">
      <c r="A151" s="17" t="str">
        <f>IF(AND(D151="",D151=""),"",$D$3&amp;"_"&amp;ROW()-11-COUNTBLANK($D$12:D151))</f>
        <v>Register_112</v>
      </c>
      <c r="B151" s="57" t="s">
        <v>48</v>
      </c>
      <c r="C151" s="31" t="s">
        <v>329</v>
      </c>
      <c r="D151" s="31" t="s">
        <v>52</v>
      </c>
      <c r="E151" s="19"/>
      <c r="F151" s="19"/>
      <c r="G151" s="19"/>
      <c r="H151" s="4"/>
      <c r="I151" s="4"/>
      <c r="J151" s="4"/>
      <c r="K151" s="4"/>
      <c r="L151" s="4"/>
      <c r="M151" s="4"/>
      <c r="N151" s="4"/>
      <c r="O151" s="4"/>
      <c r="P151" s="4"/>
      <c r="Q151" s="20" t="str">
        <f t="shared" si="0"/>
        <v/>
      </c>
      <c r="R151" s="5"/>
      <c r="S151" s="2"/>
    </row>
    <row r="152" spans="1:19" ht="31" outlineLevel="1" x14ac:dyDescent="0.4">
      <c r="A152" s="17" t="str">
        <f>IF(AND(D152="",D152=""),"",$D$3&amp;"_"&amp;ROW()-11-COUNTBLANK($D$12:D152))</f>
        <v>Register_113</v>
      </c>
      <c r="B152" s="57"/>
      <c r="C152" s="31" t="s">
        <v>291</v>
      </c>
      <c r="D152" s="31" t="s">
        <v>52</v>
      </c>
      <c r="E152" s="19"/>
      <c r="F152" s="19"/>
      <c r="G152" s="19"/>
      <c r="H152" s="4"/>
      <c r="I152" s="4"/>
      <c r="J152" s="4"/>
      <c r="K152" s="4"/>
      <c r="L152" s="4"/>
      <c r="M152" s="4"/>
      <c r="N152" s="4"/>
      <c r="O152" s="4"/>
      <c r="P152" s="4"/>
      <c r="Q152" s="20" t="str">
        <f t="shared" si="0"/>
        <v/>
      </c>
      <c r="R152" s="5"/>
      <c r="S152" s="2"/>
    </row>
    <row r="153" spans="1:19" ht="31" outlineLevel="1" x14ac:dyDescent="0.4">
      <c r="A153" s="17" t="str">
        <f>IF(AND(D153="",D153=""),"",$D$3&amp;"_"&amp;ROW()-11-COUNTBLANK($D$12:D153))</f>
        <v>Register_114</v>
      </c>
      <c r="B153" s="57"/>
      <c r="C153" s="31" t="s">
        <v>292</v>
      </c>
      <c r="D153" s="31" t="s">
        <v>52</v>
      </c>
      <c r="E153" s="19"/>
      <c r="F153" s="19"/>
      <c r="G153" s="19"/>
      <c r="H153" s="4"/>
      <c r="I153" s="4"/>
      <c r="J153" s="4"/>
      <c r="K153" s="4"/>
      <c r="L153" s="4"/>
      <c r="M153" s="4"/>
      <c r="N153" s="4"/>
      <c r="O153" s="4"/>
      <c r="P153" s="4"/>
      <c r="Q153" s="20" t="str">
        <f t="shared" si="0"/>
        <v/>
      </c>
      <c r="R153" s="5"/>
      <c r="S153" s="2"/>
    </row>
    <row r="154" spans="1:19" ht="31" outlineLevel="1" x14ac:dyDescent="0.4">
      <c r="A154" s="17" t="str">
        <f>IF(AND(D154="",D154=""),"",$D$3&amp;"_"&amp;ROW()-11-COUNTBLANK($D$12:D154))</f>
        <v>Register_115</v>
      </c>
      <c r="B154" s="57"/>
      <c r="C154" s="31" t="s">
        <v>293</v>
      </c>
      <c r="D154" s="31" t="s">
        <v>52</v>
      </c>
      <c r="E154" s="19"/>
      <c r="F154" s="19"/>
      <c r="G154" s="19"/>
      <c r="H154" s="4"/>
      <c r="I154" s="4"/>
      <c r="J154" s="4"/>
      <c r="K154" s="4"/>
      <c r="L154" s="4"/>
      <c r="M154" s="4"/>
      <c r="N154" s="4"/>
      <c r="O154" s="4"/>
      <c r="P154" s="4"/>
      <c r="Q154" s="20" t="str">
        <f t="shared" si="0"/>
        <v/>
      </c>
      <c r="R154" s="5"/>
      <c r="S154" s="2"/>
    </row>
    <row r="155" spans="1:19" ht="31" outlineLevel="1" x14ac:dyDescent="0.4">
      <c r="A155" s="17" t="str">
        <f>IF(AND(D155="",D155=""),"",$D$3&amp;"_"&amp;ROW()-11-COUNTBLANK($D$12:D155))</f>
        <v>Register_116</v>
      </c>
      <c r="B155" s="57"/>
      <c r="C155" s="31" t="s">
        <v>330</v>
      </c>
      <c r="D155" s="31" t="s">
        <v>52</v>
      </c>
      <c r="E155" s="19"/>
      <c r="F155" s="19"/>
      <c r="G155" s="19"/>
      <c r="H155" s="4"/>
      <c r="I155" s="4"/>
      <c r="J155" s="4"/>
      <c r="K155" s="4"/>
      <c r="L155" s="4"/>
      <c r="M155" s="4"/>
      <c r="N155" s="4"/>
      <c r="O155" s="4"/>
      <c r="P155" s="4"/>
      <c r="Q155" s="20" t="str">
        <f t="shared" si="0"/>
        <v/>
      </c>
      <c r="R155" s="5"/>
      <c r="S155" s="2"/>
    </row>
    <row r="156" spans="1:19" outlineLevel="1" x14ac:dyDescent="0.4">
      <c r="A156" s="17" t="str">
        <f>IF(AND(D156="",D156=""),"",$D$3&amp;"_"&amp;ROW()-11-COUNTBLANK($D$12:D156))</f>
        <v/>
      </c>
      <c r="B156" s="26"/>
      <c r="C156" s="21"/>
      <c r="D156" s="27"/>
      <c r="E156" s="19"/>
      <c r="F156" s="19"/>
      <c r="G156" s="19"/>
      <c r="H156" s="4"/>
      <c r="I156" s="4"/>
      <c r="J156" s="4"/>
      <c r="K156" s="4"/>
      <c r="L156" s="4"/>
      <c r="M156" s="4"/>
      <c r="N156" s="4"/>
      <c r="O156" s="4"/>
      <c r="P156" s="4"/>
      <c r="Q156" s="20" t="str">
        <f t="shared" si="0"/>
        <v/>
      </c>
      <c r="R156" s="5"/>
      <c r="S156" s="2"/>
    </row>
    <row r="157" spans="1:19" x14ac:dyDescent="0.4">
      <c r="A157" s="17" t="str">
        <f>IF(AND(D157="",D157=""),"",$D$3&amp;"_"&amp;ROW()-11-COUNTBLANK($D$12:D157))</f>
        <v/>
      </c>
      <c r="B157" s="25" t="s">
        <v>398</v>
      </c>
      <c r="C157" s="25"/>
      <c r="D157" s="25"/>
      <c r="E157" s="19"/>
      <c r="F157" s="19"/>
      <c r="G157" s="19"/>
      <c r="H157" s="4"/>
      <c r="I157" s="4"/>
      <c r="J157" s="4"/>
      <c r="K157" s="4"/>
      <c r="L157" s="4"/>
      <c r="M157" s="4"/>
      <c r="N157" s="4"/>
      <c r="O157" s="4"/>
      <c r="P157" s="4"/>
      <c r="Q157" s="20" t="str">
        <f t="shared" si="0"/>
        <v/>
      </c>
      <c r="R157" s="5"/>
      <c r="S157" s="2"/>
    </row>
    <row r="158" spans="1:19" ht="46.5" outlineLevel="1" x14ac:dyDescent="0.4">
      <c r="A158" s="17" t="str">
        <f>IF(AND(D158="",D158=""),"",$D$3&amp;"_"&amp;ROW()-11-COUNTBLANK($D$12:D158))</f>
        <v>Register_117</v>
      </c>
      <c r="B158" s="34" t="s">
        <v>399</v>
      </c>
      <c r="C158" s="21" t="s">
        <v>400</v>
      </c>
      <c r="D158" s="27" t="s">
        <v>218</v>
      </c>
      <c r="E158" s="19"/>
      <c r="F158" s="19"/>
      <c r="G158" s="19"/>
      <c r="H158" s="4"/>
      <c r="I158" s="4"/>
      <c r="J158" s="4"/>
      <c r="K158" s="4"/>
      <c r="L158" s="4"/>
      <c r="M158" s="4"/>
      <c r="N158" s="4"/>
      <c r="O158" s="4"/>
      <c r="P158" s="4"/>
      <c r="Q158" s="20" t="str">
        <f t="shared" si="0"/>
        <v/>
      </c>
      <c r="R158" s="5"/>
      <c r="S158" s="2"/>
    </row>
    <row r="159" spans="1:19" outlineLevel="1" x14ac:dyDescent="0.4">
      <c r="A159" s="17" t="str">
        <f>IF(AND(D159="",D159=""),"",$D$3&amp;"_"&amp;ROW()-11-COUNTBLANK($D$12:D159))</f>
        <v>Register_118</v>
      </c>
      <c r="B159" s="62" t="s">
        <v>401</v>
      </c>
      <c r="C159" s="21" t="s">
        <v>402</v>
      </c>
      <c r="D159" s="27" t="s">
        <v>218</v>
      </c>
      <c r="E159" s="19"/>
      <c r="F159" s="19"/>
      <c r="G159" s="19"/>
      <c r="H159" s="4"/>
      <c r="I159" s="4"/>
      <c r="J159" s="4"/>
      <c r="K159" s="4"/>
      <c r="L159" s="4"/>
      <c r="M159" s="4"/>
      <c r="N159" s="4"/>
      <c r="O159" s="4"/>
      <c r="P159" s="4"/>
      <c r="Q159" s="20" t="str">
        <f t="shared" si="0"/>
        <v/>
      </c>
      <c r="R159" s="5"/>
      <c r="S159" s="2"/>
    </row>
    <row r="160" spans="1:19" ht="31" outlineLevel="1" x14ac:dyDescent="0.4">
      <c r="A160" s="17"/>
      <c r="B160" s="62"/>
      <c r="C160" s="21" t="s">
        <v>403</v>
      </c>
      <c r="D160" s="27" t="s">
        <v>353</v>
      </c>
      <c r="E160" s="19"/>
      <c r="F160" s="19"/>
      <c r="G160" s="19"/>
      <c r="H160" s="4"/>
      <c r="I160" s="4"/>
      <c r="J160" s="4"/>
      <c r="K160" s="4"/>
      <c r="L160" s="4"/>
      <c r="M160" s="4"/>
      <c r="N160" s="4"/>
      <c r="O160" s="4"/>
      <c r="P160" s="4"/>
      <c r="Q160" s="20"/>
      <c r="R160" s="5"/>
      <c r="S160" s="2"/>
    </row>
    <row r="161" spans="1:19" outlineLevel="1" x14ac:dyDescent="0.4">
      <c r="A161" s="17"/>
      <c r="B161" s="62" t="s">
        <v>404</v>
      </c>
      <c r="C161" s="21" t="s">
        <v>405</v>
      </c>
      <c r="D161" s="27" t="s">
        <v>218</v>
      </c>
      <c r="E161" s="19"/>
      <c r="F161" s="19"/>
      <c r="G161" s="19"/>
      <c r="H161" s="4"/>
      <c r="I161" s="4"/>
      <c r="J161" s="4"/>
      <c r="K161" s="4"/>
      <c r="L161" s="4"/>
      <c r="M161" s="4"/>
      <c r="N161" s="4"/>
      <c r="O161" s="4"/>
      <c r="P161" s="4"/>
      <c r="Q161" s="20"/>
      <c r="R161" s="5"/>
      <c r="S161" s="2"/>
    </row>
    <row r="162" spans="1:19" outlineLevel="1" x14ac:dyDescent="0.4">
      <c r="A162" s="17"/>
      <c r="B162" s="62"/>
      <c r="C162" s="21" t="s">
        <v>406</v>
      </c>
      <c r="D162" s="27" t="s">
        <v>218</v>
      </c>
      <c r="E162" s="19"/>
      <c r="F162" s="19"/>
      <c r="G162" s="19"/>
      <c r="H162" s="4"/>
      <c r="I162" s="4"/>
      <c r="J162" s="4"/>
      <c r="K162" s="4"/>
      <c r="L162" s="4"/>
      <c r="M162" s="4"/>
      <c r="N162" s="4"/>
      <c r="O162" s="4"/>
      <c r="P162" s="4"/>
      <c r="Q162" s="20"/>
      <c r="R162" s="5"/>
      <c r="S162" s="2"/>
    </row>
    <row r="163" spans="1:19" outlineLevel="1" x14ac:dyDescent="0.4">
      <c r="A163" s="17" t="str">
        <f>IF(AND(D163="",D163=""),"",$D$3&amp;"_"&amp;ROW()-11-COUNTBLANK($D$12:D163))</f>
        <v>Register_122</v>
      </c>
      <c r="B163" s="62"/>
      <c r="C163" s="21" t="s">
        <v>407</v>
      </c>
      <c r="D163" s="27" t="s">
        <v>353</v>
      </c>
      <c r="E163" s="19"/>
      <c r="F163" s="19"/>
      <c r="G163" s="19"/>
      <c r="H163" s="4"/>
      <c r="I163" s="4"/>
      <c r="J163" s="4"/>
      <c r="K163" s="4"/>
      <c r="L163" s="4"/>
      <c r="M163" s="4"/>
      <c r="N163" s="4"/>
      <c r="O163" s="4"/>
      <c r="P163" s="4"/>
      <c r="Q163" s="20" t="str">
        <f t="shared" si="0"/>
        <v/>
      </c>
      <c r="R163" s="5"/>
      <c r="S163" s="2"/>
    </row>
    <row r="164" spans="1:19" ht="46.5" outlineLevel="1" x14ac:dyDescent="0.4">
      <c r="A164" s="17"/>
      <c r="B164" s="26" t="s">
        <v>408</v>
      </c>
      <c r="C164" s="21" t="s">
        <v>409</v>
      </c>
      <c r="D164" s="27" t="s">
        <v>410</v>
      </c>
      <c r="E164" s="19"/>
      <c r="F164" s="19"/>
      <c r="G164" s="19"/>
      <c r="H164" s="4"/>
      <c r="I164" s="4"/>
      <c r="J164" s="4"/>
      <c r="K164" s="4"/>
      <c r="L164" s="4"/>
      <c r="M164" s="4"/>
      <c r="N164" s="4"/>
      <c r="O164" s="4"/>
      <c r="P164" s="4"/>
      <c r="Q164" s="20"/>
      <c r="R164" s="5"/>
      <c r="S164" s="2"/>
    </row>
    <row r="165" spans="1:19" ht="46.5" outlineLevel="1" x14ac:dyDescent="0.4">
      <c r="A165" s="17"/>
      <c r="B165" s="26" t="s">
        <v>411</v>
      </c>
      <c r="C165" s="21" t="s">
        <v>412</v>
      </c>
      <c r="D165" s="27" t="s">
        <v>413</v>
      </c>
      <c r="E165" s="19"/>
      <c r="F165" s="19"/>
      <c r="G165" s="19"/>
      <c r="H165" s="4"/>
      <c r="I165" s="4"/>
      <c r="J165" s="4"/>
      <c r="K165" s="4"/>
      <c r="L165" s="4"/>
      <c r="M165" s="4"/>
      <c r="N165" s="4"/>
      <c r="O165" s="4"/>
      <c r="P165" s="4"/>
      <c r="Q165" s="20"/>
      <c r="R165" s="5"/>
      <c r="S165" s="2"/>
    </row>
    <row r="166" spans="1:19" ht="46.5" outlineLevel="1" x14ac:dyDescent="0.4">
      <c r="A166" s="17"/>
      <c r="B166" s="26" t="s">
        <v>414</v>
      </c>
      <c r="C166" s="21" t="s">
        <v>415</v>
      </c>
      <c r="D166" s="27" t="s">
        <v>416</v>
      </c>
      <c r="E166" s="19"/>
      <c r="F166" s="19"/>
      <c r="G166" s="19"/>
      <c r="H166" s="4"/>
      <c r="I166" s="4"/>
      <c r="J166" s="4"/>
      <c r="K166" s="4"/>
      <c r="L166" s="4"/>
      <c r="M166" s="4"/>
      <c r="N166" s="4"/>
      <c r="O166" s="4"/>
      <c r="P166" s="4"/>
      <c r="Q166" s="20"/>
      <c r="R166" s="5"/>
      <c r="S166" s="2"/>
    </row>
    <row r="167" spans="1:19" outlineLevel="1" x14ac:dyDescent="0.4">
      <c r="A167" s="17"/>
      <c r="B167" s="26" t="s">
        <v>417</v>
      </c>
      <c r="C167" s="21"/>
      <c r="D167" s="27"/>
      <c r="E167" s="19"/>
      <c r="F167" s="19"/>
      <c r="G167" s="19"/>
      <c r="H167" s="4"/>
      <c r="I167" s="4"/>
      <c r="J167" s="4"/>
      <c r="K167" s="4"/>
      <c r="L167" s="4"/>
      <c r="M167" s="4"/>
      <c r="N167" s="4"/>
      <c r="O167" s="4"/>
      <c r="P167" s="4"/>
      <c r="Q167" s="20"/>
      <c r="R167" s="5"/>
      <c r="S167" s="2"/>
    </row>
    <row r="168" spans="1:19" x14ac:dyDescent="0.4">
      <c r="A168" s="17" t="str">
        <f>IF(AND(D168="",D168=""),"",$D$3&amp;"_"&amp;ROW()-11-COUNTBLANK($D$12:D168))</f>
        <v/>
      </c>
      <c r="B168" s="25" t="s">
        <v>418</v>
      </c>
      <c r="C168" s="25"/>
      <c r="D168" s="25"/>
      <c r="E168" s="19"/>
      <c r="F168" s="19"/>
      <c r="G168" s="19"/>
      <c r="H168" s="4"/>
      <c r="I168" s="4"/>
      <c r="J168" s="4"/>
      <c r="K168" s="4"/>
      <c r="L168" s="4"/>
      <c r="M168" s="4"/>
      <c r="N168" s="4"/>
      <c r="O168" s="4"/>
      <c r="P168" s="4"/>
      <c r="Q168" s="20" t="str">
        <f t="shared" si="0"/>
        <v/>
      </c>
      <c r="R168" s="5"/>
      <c r="S168" s="2"/>
    </row>
    <row r="169" spans="1:19" ht="57" outlineLevel="1" x14ac:dyDescent="0.4">
      <c r="A169" s="17" t="str">
        <f>IF(AND(D169="",D169=""),"",$D$3&amp;"_"&amp;ROW()-11-COUNTBLANK($D$12:D169))</f>
        <v>Register_126</v>
      </c>
      <c r="B169" s="32" t="s">
        <v>42</v>
      </c>
      <c r="C169" s="32" t="s">
        <v>419</v>
      </c>
      <c r="D169" s="32" t="s">
        <v>206</v>
      </c>
      <c r="E169" s="19"/>
      <c r="F169" s="19"/>
      <c r="G169" s="19"/>
      <c r="H169" s="4"/>
      <c r="I169" s="4"/>
      <c r="J169" s="4"/>
      <c r="K169" s="4"/>
      <c r="L169" s="4"/>
      <c r="M169" s="4"/>
      <c r="N169" s="4"/>
      <c r="O169" s="4"/>
      <c r="P169" s="4"/>
      <c r="Q169" s="20" t="str">
        <f t="shared" si="0"/>
        <v/>
      </c>
      <c r="R169" s="5"/>
      <c r="S169" s="2"/>
    </row>
    <row r="170" spans="1:19" ht="38" outlineLevel="1" x14ac:dyDescent="0.4">
      <c r="A170" s="17" t="str">
        <f>IF(AND(D170="",D170=""),"",$D$3&amp;"_"&amp;ROW()-11-COUNTBLANK($D$12:D170))</f>
        <v>Register_127</v>
      </c>
      <c r="B170" s="32" t="s">
        <v>247</v>
      </c>
      <c r="C170" s="32" t="s">
        <v>299</v>
      </c>
      <c r="D170" s="32" t="s">
        <v>249</v>
      </c>
      <c r="E170" s="19"/>
      <c r="F170" s="19"/>
      <c r="G170" s="19"/>
      <c r="H170" s="4"/>
      <c r="I170" s="4"/>
      <c r="J170" s="4"/>
      <c r="K170" s="4"/>
      <c r="L170" s="4"/>
      <c r="M170" s="4"/>
      <c r="N170" s="4"/>
      <c r="O170" s="4"/>
      <c r="P170" s="4"/>
      <c r="Q170" s="20" t="str">
        <f t="shared" si="0"/>
        <v/>
      </c>
      <c r="R170" s="5"/>
      <c r="S170" s="2"/>
    </row>
    <row r="171" spans="1:19" x14ac:dyDescent="0.4">
      <c r="A171" s="17" t="str">
        <f>IF(AND(D171="",D171=""),"",$D$3&amp;"_"&amp;ROW()-11-COUNTBLANK($D$12:D171))</f>
        <v/>
      </c>
      <c r="B171" s="18" t="s">
        <v>74</v>
      </c>
      <c r="C171" s="18"/>
      <c r="D171" s="18"/>
      <c r="E171" s="19"/>
      <c r="F171" s="19"/>
      <c r="G171" s="19"/>
      <c r="H171" s="4"/>
      <c r="I171" s="4"/>
      <c r="J171" s="4"/>
      <c r="K171" s="4"/>
      <c r="L171" s="4"/>
      <c r="M171" s="4"/>
      <c r="N171" s="4"/>
      <c r="O171" s="4"/>
      <c r="P171" s="4"/>
      <c r="Q171" s="20" t="str">
        <f t="shared" si="0"/>
        <v/>
      </c>
      <c r="R171" s="5"/>
      <c r="S171" s="2"/>
    </row>
    <row r="172" spans="1:19" x14ac:dyDescent="0.4">
      <c r="A172" s="17" t="str">
        <f>IF(AND(D172="",D172=""),"",$D$3&amp;"_"&amp;ROW()-11-COUNTBLANK($D$12:D172))</f>
        <v/>
      </c>
      <c r="B172" s="33" t="s">
        <v>420</v>
      </c>
      <c r="C172" s="33"/>
      <c r="D172" s="33"/>
      <c r="E172" s="19"/>
      <c r="F172" s="19"/>
      <c r="G172" s="19"/>
      <c r="H172" s="4"/>
      <c r="I172" s="4"/>
      <c r="J172" s="4"/>
      <c r="K172" s="4"/>
      <c r="L172" s="4"/>
      <c r="M172" s="4"/>
      <c r="N172" s="4"/>
      <c r="O172" s="4"/>
      <c r="P172" s="4"/>
      <c r="Q172" s="20" t="str">
        <f t="shared" si="0"/>
        <v/>
      </c>
      <c r="R172" s="5"/>
      <c r="S172" s="2"/>
    </row>
    <row r="173" spans="1:19" ht="46.5" outlineLevel="1" x14ac:dyDescent="0.4">
      <c r="A173" s="17" t="str">
        <f>IF(AND(D173="",D173=""),"",$D$3&amp;"_"&amp;ROW()-11-COUNTBLANK($D$12:D173))</f>
        <v>Register_128</v>
      </c>
      <c r="B173" s="34" t="s">
        <v>421</v>
      </c>
      <c r="C173" s="21" t="s">
        <v>422</v>
      </c>
      <c r="D173" s="34" t="s">
        <v>423</v>
      </c>
      <c r="E173" s="19"/>
      <c r="F173" s="19"/>
      <c r="G173" s="19"/>
      <c r="H173" s="4"/>
      <c r="I173" s="4"/>
      <c r="J173" s="4"/>
      <c r="K173" s="4"/>
      <c r="L173" s="4"/>
      <c r="M173" s="4"/>
      <c r="N173" s="4"/>
      <c r="O173" s="4"/>
      <c r="P173" s="4"/>
      <c r="Q173" s="20" t="str">
        <f t="shared" si="0"/>
        <v/>
      </c>
      <c r="R173" s="5"/>
      <c r="S173" s="2"/>
    </row>
    <row r="174" spans="1:19" ht="46.5" outlineLevel="1" x14ac:dyDescent="0.4">
      <c r="A174" s="17" t="str">
        <f>IF(AND(D174="",D174=""),"",$D$3&amp;"_"&amp;ROW()-11-COUNTBLANK($D$12:D174))</f>
        <v>Register_129</v>
      </c>
      <c r="B174" s="34" t="s">
        <v>424</v>
      </c>
      <c r="C174" s="21" t="s">
        <v>425</v>
      </c>
      <c r="D174" s="34" t="s">
        <v>423</v>
      </c>
      <c r="E174" s="19"/>
      <c r="F174" s="19"/>
      <c r="G174" s="19"/>
      <c r="H174" s="4"/>
      <c r="I174" s="4"/>
      <c r="J174" s="4"/>
      <c r="K174" s="4"/>
      <c r="L174" s="4"/>
      <c r="M174" s="4"/>
      <c r="N174" s="4"/>
      <c r="O174" s="4"/>
      <c r="P174" s="4"/>
      <c r="Q174" s="20" t="str">
        <f t="shared" si="0"/>
        <v/>
      </c>
      <c r="R174" s="5"/>
      <c r="S174" s="2"/>
    </row>
    <row r="175" spans="1:19" ht="62" outlineLevel="1" x14ac:dyDescent="0.4">
      <c r="A175" s="17" t="str">
        <f>IF(AND(D175="",D175=""),"",$D$3&amp;"_"&amp;ROW()-11-COUNTBLANK($D$12:D175))</f>
        <v>Register_130</v>
      </c>
      <c r="B175" s="34" t="s">
        <v>426</v>
      </c>
      <c r="C175" s="21" t="s">
        <v>427</v>
      </c>
      <c r="D175" s="34" t="s">
        <v>423</v>
      </c>
      <c r="E175" s="19"/>
      <c r="F175" s="19"/>
      <c r="G175" s="19"/>
      <c r="H175" s="4"/>
      <c r="I175" s="4"/>
      <c r="J175" s="4"/>
      <c r="K175" s="4"/>
      <c r="L175" s="4"/>
      <c r="M175" s="4"/>
      <c r="N175" s="4"/>
      <c r="O175" s="4"/>
      <c r="P175" s="4"/>
      <c r="Q175" s="20" t="str">
        <f t="shared" si="0"/>
        <v/>
      </c>
      <c r="R175" s="5"/>
      <c r="S175" s="2"/>
    </row>
    <row r="176" spans="1:19" ht="62" outlineLevel="1" x14ac:dyDescent="0.4">
      <c r="A176" s="17" t="str">
        <f>IF(AND(D176="",D176=""),"",$D$3&amp;"_"&amp;ROW()-11-COUNTBLANK($D$12:D176))</f>
        <v>Register_131</v>
      </c>
      <c r="B176" s="34" t="s">
        <v>428</v>
      </c>
      <c r="C176" s="21" t="s">
        <v>429</v>
      </c>
      <c r="D176" s="34" t="s">
        <v>423</v>
      </c>
      <c r="E176" s="19"/>
      <c r="F176" s="19"/>
      <c r="G176" s="19"/>
      <c r="H176" s="4"/>
      <c r="I176" s="4"/>
      <c r="J176" s="4"/>
      <c r="K176" s="4"/>
      <c r="L176" s="4"/>
      <c r="M176" s="4"/>
      <c r="N176" s="4"/>
      <c r="O176" s="4"/>
      <c r="P176" s="4"/>
      <c r="Q176" s="20" t="str">
        <f t="shared" si="0"/>
        <v/>
      </c>
      <c r="R176" s="5"/>
      <c r="S176" s="2"/>
    </row>
    <row r="177" spans="1:19" ht="62" outlineLevel="1" x14ac:dyDescent="0.4">
      <c r="A177" s="17" t="str">
        <f>IF(AND(D177="",D177=""),"",$D$3&amp;"_"&amp;ROW()-11-COUNTBLANK($D$12:D177))</f>
        <v>Register_132</v>
      </c>
      <c r="B177" s="63" t="s">
        <v>430</v>
      </c>
      <c r="C177" s="21" t="s">
        <v>431</v>
      </c>
      <c r="D177" s="34" t="s">
        <v>423</v>
      </c>
      <c r="E177" s="19"/>
      <c r="F177" s="19"/>
      <c r="G177" s="19"/>
      <c r="H177" s="4"/>
      <c r="I177" s="4"/>
      <c r="J177" s="4"/>
      <c r="K177" s="4"/>
      <c r="L177" s="4"/>
      <c r="M177" s="4"/>
      <c r="N177" s="4"/>
      <c r="O177" s="4"/>
      <c r="P177" s="4"/>
      <c r="Q177" s="20" t="str">
        <f t="shared" si="0"/>
        <v/>
      </c>
      <c r="R177" s="5"/>
      <c r="S177" s="2"/>
    </row>
    <row r="178" spans="1:19" ht="62" outlineLevel="1" x14ac:dyDescent="0.4">
      <c r="A178" s="17" t="str">
        <f>IF(AND(D178="",D178=""),"",$D$3&amp;"_"&amp;ROW()-11-COUNTBLANK($D$12:D178))</f>
        <v>Register_133</v>
      </c>
      <c r="B178" s="63"/>
      <c r="C178" s="21" t="s">
        <v>432</v>
      </c>
      <c r="D178" s="34" t="s">
        <v>423</v>
      </c>
      <c r="E178" s="19"/>
      <c r="F178" s="19"/>
      <c r="G178" s="19"/>
      <c r="H178" s="4"/>
      <c r="I178" s="4"/>
      <c r="J178" s="4"/>
      <c r="K178" s="4"/>
      <c r="L178" s="4"/>
      <c r="M178" s="4"/>
      <c r="N178" s="4"/>
      <c r="O178" s="4"/>
      <c r="P178" s="4"/>
      <c r="Q178" s="20" t="str">
        <f t="shared" si="0"/>
        <v/>
      </c>
      <c r="R178" s="5"/>
      <c r="S178" s="2"/>
    </row>
    <row r="179" spans="1:19" ht="62" outlineLevel="1" x14ac:dyDescent="0.4">
      <c r="A179" s="17" t="str">
        <f>IF(AND(D179="",D179=""),"",$D$3&amp;"_"&amp;ROW()-11-COUNTBLANK($D$12:D179))</f>
        <v>Register_134</v>
      </c>
      <c r="B179" s="63"/>
      <c r="C179" s="21" t="s">
        <v>433</v>
      </c>
      <c r="D179" s="34" t="s">
        <v>423</v>
      </c>
      <c r="E179" s="19"/>
      <c r="F179" s="19"/>
      <c r="G179" s="19"/>
      <c r="H179" s="4"/>
      <c r="I179" s="4"/>
      <c r="J179" s="4"/>
      <c r="K179" s="4"/>
      <c r="L179" s="4"/>
      <c r="M179" s="4"/>
      <c r="N179" s="4"/>
      <c r="O179" s="4"/>
      <c r="P179" s="4"/>
      <c r="Q179" s="20" t="str">
        <f t="shared" si="0"/>
        <v/>
      </c>
      <c r="R179" s="5"/>
      <c r="S179" s="2"/>
    </row>
    <row r="180" spans="1:19" ht="62" outlineLevel="1" x14ac:dyDescent="0.4">
      <c r="A180" s="17" t="str">
        <f>IF(AND(D180="",D180=""),"",$D$3&amp;"_"&amp;ROW()-11-COUNTBLANK($D$12:D180))</f>
        <v>Register_135</v>
      </c>
      <c r="B180" s="63" t="s">
        <v>434</v>
      </c>
      <c r="C180" s="21" t="s">
        <v>435</v>
      </c>
      <c r="D180" s="34" t="s">
        <v>423</v>
      </c>
      <c r="E180" s="19"/>
      <c r="F180" s="19"/>
      <c r="G180" s="19"/>
      <c r="H180" s="4"/>
      <c r="I180" s="4"/>
      <c r="J180" s="4"/>
      <c r="K180" s="4"/>
      <c r="L180" s="4"/>
      <c r="M180" s="4"/>
      <c r="N180" s="4"/>
      <c r="O180" s="4"/>
      <c r="P180" s="4"/>
      <c r="Q180" s="20" t="str">
        <f t="shared" si="0"/>
        <v/>
      </c>
      <c r="R180" s="5"/>
      <c r="S180" s="2"/>
    </row>
    <row r="181" spans="1:19" ht="62" outlineLevel="1" x14ac:dyDescent="0.4">
      <c r="A181" s="17" t="str">
        <f>IF(AND(D181="",D181=""),"",$D$3&amp;"_"&amp;ROW()-11-COUNTBLANK($D$12:D181))</f>
        <v>Register_136</v>
      </c>
      <c r="B181" s="63"/>
      <c r="C181" s="21" t="s">
        <v>436</v>
      </c>
      <c r="D181" s="34" t="s">
        <v>423</v>
      </c>
      <c r="E181" s="19"/>
      <c r="F181" s="19"/>
      <c r="G181" s="19"/>
      <c r="H181" s="4"/>
      <c r="I181" s="4"/>
      <c r="J181" s="4"/>
      <c r="K181" s="4"/>
      <c r="L181" s="4"/>
      <c r="M181" s="4"/>
      <c r="N181" s="4"/>
      <c r="O181" s="4"/>
      <c r="P181" s="4"/>
      <c r="Q181" s="20" t="str">
        <f t="shared" si="0"/>
        <v/>
      </c>
      <c r="R181" s="5"/>
      <c r="S181" s="2"/>
    </row>
    <row r="182" spans="1:19" ht="62" outlineLevel="1" x14ac:dyDescent="0.4">
      <c r="A182" s="17" t="str">
        <f>IF(AND(D182="",D182=""),"",$D$3&amp;"_"&amp;ROW()-11-COUNTBLANK($D$12:D182))</f>
        <v>Register_137</v>
      </c>
      <c r="B182" s="63"/>
      <c r="C182" s="21" t="s">
        <v>433</v>
      </c>
      <c r="D182" s="34" t="s">
        <v>423</v>
      </c>
      <c r="E182" s="19"/>
      <c r="F182" s="19"/>
      <c r="G182" s="19"/>
      <c r="H182" s="4"/>
      <c r="I182" s="4"/>
      <c r="J182" s="4"/>
      <c r="K182" s="4"/>
      <c r="L182" s="4"/>
      <c r="M182" s="4"/>
      <c r="N182" s="4"/>
      <c r="O182" s="4"/>
      <c r="P182" s="4"/>
      <c r="Q182" s="20" t="str">
        <f t="shared" si="0"/>
        <v/>
      </c>
      <c r="R182" s="5"/>
      <c r="S182" s="2"/>
    </row>
    <row r="183" spans="1:19" ht="62" outlineLevel="1" x14ac:dyDescent="0.4">
      <c r="A183" s="17" t="str">
        <f>IF(AND(D183="",D183=""),"",$D$3&amp;"_"&amp;ROW()-11-COUNTBLANK($D$12:D183))</f>
        <v>Register_138</v>
      </c>
      <c r="B183" s="63" t="s">
        <v>294</v>
      </c>
      <c r="C183" s="21" t="s">
        <v>435</v>
      </c>
      <c r="D183" s="34" t="s">
        <v>423</v>
      </c>
      <c r="E183" s="19"/>
      <c r="F183" s="19"/>
      <c r="G183" s="19"/>
      <c r="H183" s="4"/>
      <c r="I183" s="4"/>
      <c r="J183" s="4"/>
      <c r="K183" s="4"/>
      <c r="L183" s="4"/>
      <c r="M183" s="4"/>
      <c r="N183" s="4"/>
      <c r="O183" s="4"/>
      <c r="P183" s="4"/>
      <c r="Q183" s="20" t="str">
        <f t="shared" si="0"/>
        <v/>
      </c>
      <c r="R183" s="5"/>
      <c r="S183" s="2"/>
    </row>
    <row r="184" spans="1:19" ht="62" outlineLevel="1" x14ac:dyDescent="0.4">
      <c r="A184" s="17" t="str">
        <f>IF(AND(D184="",D184=""),"",$D$3&amp;"_"&amp;ROW()-11-COUNTBLANK($D$12:D184))</f>
        <v>Register_139</v>
      </c>
      <c r="B184" s="63"/>
      <c r="C184" s="21" t="s">
        <v>436</v>
      </c>
      <c r="D184" s="34" t="s">
        <v>423</v>
      </c>
      <c r="E184" s="19"/>
      <c r="F184" s="19"/>
      <c r="G184" s="19"/>
      <c r="H184" s="4"/>
      <c r="I184" s="4"/>
      <c r="J184" s="4"/>
      <c r="K184" s="4"/>
      <c r="L184" s="4"/>
      <c r="M184" s="4"/>
      <c r="N184" s="4"/>
      <c r="O184" s="4"/>
      <c r="P184" s="4"/>
      <c r="Q184" s="20" t="str">
        <f t="shared" si="0"/>
        <v/>
      </c>
      <c r="R184" s="5"/>
      <c r="S184" s="2"/>
    </row>
    <row r="185" spans="1:19" ht="62" outlineLevel="1" x14ac:dyDescent="0.4">
      <c r="A185" s="17" t="str">
        <f>IF(AND(D185="",D185=""),"",$D$3&amp;"_"&amp;ROW()-11-COUNTBLANK($D$12:D185))</f>
        <v>Register_140</v>
      </c>
      <c r="B185" s="63"/>
      <c r="C185" s="21" t="s">
        <v>433</v>
      </c>
      <c r="D185" s="34" t="s">
        <v>423</v>
      </c>
      <c r="E185" s="19"/>
      <c r="F185" s="19"/>
      <c r="G185" s="19"/>
      <c r="H185" s="4"/>
      <c r="I185" s="4"/>
      <c r="J185" s="4"/>
      <c r="K185" s="4"/>
      <c r="L185" s="4"/>
      <c r="M185" s="4"/>
      <c r="N185" s="4"/>
      <c r="O185" s="4"/>
      <c r="P185" s="4"/>
      <c r="Q185" s="20" t="str">
        <f t="shared" si="0"/>
        <v/>
      </c>
      <c r="R185" s="5"/>
      <c r="S185" s="2"/>
    </row>
    <row r="186" spans="1:19" ht="62" outlineLevel="1" x14ac:dyDescent="0.4">
      <c r="A186" s="17" t="str">
        <f>IF(AND(D186="",D186=""),"",$D$3&amp;"_"&amp;ROW()-11-COUNTBLANK($D$12:D186))</f>
        <v>Register_141</v>
      </c>
      <c r="B186" s="63" t="s">
        <v>296</v>
      </c>
      <c r="C186" s="21" t="s">
        <v>435</v>
      </c>
      <c r="D186" s="34" t="s">
        <v>423</v>
      </c>
      <c r="E186" s="19"/>
      <c r="F186" s="19"/>
      <c r="G186" s="19"/>
      <c r="H186" s="4"/>
      <c r="I186" s="4"/>
      <c r="J186" s="4"/>
      <c r="K186" s="4"/>
      <c r="L186" s="4"/>
      <c r="M186" s="4"/>
      <c r="N186" s="4"/>
      <c r="O186" s="4"/>
      <c r="P186" s="4"/>
      <c r="Q186" s="20" t="str">
        <f t="shared" si="0"/>
        <v/>
      </c>
      <c r="R186" s="5"/>
      <c r="S186" s="2"/>
    </row>
    <row r="187" spans="1:19" ht="62" outlineLevel="1" x14ac:dyDescent="0.4">
      <c r="A187" s="17" t="str">
        <f>IF(AND(D187="",D187=""),"",$D$3&amp;"_"&amp;ROW()-11-COUNTBLANK($D$12:D187))</f>
        <v>Register_142</v>
      </c>
      <c r="B187" s="63"/>
      <c r="C187" s="21" t="s">
        <v>436</v>
      </c>
      <c r="D187" s="34" t="s">
        <v>423</v>
      </c>
      <c r="E187" s="19"/>
      <c r="F187" s="19"/>
      <c r="G187" s="19"/>
      <c r="H187" s="4"/>
      <c r="I187" s="4"/>
      <c r="J187" s="4"/>
      <c r="K187" s="4"/>
      <c r="L187" s="4"/>
      <c r="M187" s="4"/>
      <c r="N187" s="4"/>
      <c r="O187" s="4"/>
      <c r="P187" s="4"/>
      <c r="Q187" s="20" t="str">
        <f t="shared" si="0"/>
        <v/>
      </c>
      <c r="R187" s="5"/>
      <c r="S187" s="2"/>
    </row>
    <row r="188" spans="1:19" ht="62" outlineLevel="1" x14ac:dyDescent="0.4">
      <c r="A188" s="17" t="str">
        <f>IF(AND(D188="",D188=""),"",$D$3&amp;"_"&amp;ROW()-11-COUNTBLANK($D$12:D188))</f>
        <v>Register_143</v>
      </c>
      <c r="B188" s="63"/>
      <c r="C188" s="21" t="s">
        <v>433</v>
      </c>
      <c r="D188" s="34" t="s">
        <v>423</v>
      </c>
      <c r="E188" s="19"/>
      <c r="F188" s="19"/>
      <c r="G188" s="19"/>
      <c r="H188" s="4"/>
      <c r="I188" s="4"/>
      <c r="J188" s="4"/>
      <c r="K188" s="4"/>
      <c r="L188" s="4"/>
      <c r="M188" s="4"/>
      <c r="N188" s="4"/>
      <c r="O188" s="4"/>
      <c r="P188" s="4"/>
      <c r="Q188" s="20" t="str">
        <f t="shared" si="0"/>
        <v/>
      </c>
      <c r="R188" s="5"/>
      <c r="S188" s="2"/>
    </row>
    <row r="189" spans="1:19" ht="62" outlineLevel="1" x14ac:dyDescent="0.4">
      <c r="A189" s="17"/>
      <c r="B189" s="63"/>
      <c r="C189" s="21" t="s">
        <v>437</v>
      </c>
      <c r="D189" s="34" t="s">
        <v>423</v>
      </c>
      <c r="E189" s="19"/>
      <c r="F189" s="19"/>
      <c r="G189" s="19"/>
      <c r="H189" s="4"/>
      <c r="I189" s="4"/>
      <c r="J189" s="4"/>
      <c r="K189" s="4"/>
      <c r="L189" s="4"/>
      <c r="M189" s="4"/>
      <c r="N189" s="4"/>
      <c r="O189" s="4"/>
      <c r="P189" s="4"/>
      <c r="Q189" s="20"/>
      <c r="R189" s="5"/>
      <c r="S189" s="2"/>
    </row>
    <row r="190" spans="1:19" ht="62" outlineLevel="1" x14ac:dyDescent="0.4">
      <c r="A190" s="17"/>
      <c r="B190" s="64" t="s">
        <v>297</v>
      </c>
      <c r="C190" s="21" t="s">
        <v>438</v>
      </c>
      <c r="D190" s="34" t="s">
        <v>423</v>
      </c>
      <c r="E190" s="19"/>
      <c r="F190" s="19"/>
      <c r="G190" s="19"/>
      <c r="H190" s="4"/>
      <c r="I190" s="4"/>
      <c r="J190" s="4"/>
      <c r="K190" s="4"/>
      <c r="L190" s="4"/>
      <c r="M190" s="4"/>
      <c r="N190" s="4"/>
      <c r="O190" s="4"/>
      <c r="P190" s="4"/>
      <c r="Q190" s="20"/>
      <c r="R190" s="5"/>
      <c r="S190" s="2"/>
    </row>
    <row r="191" spans="1:19" ht="62" outlineLevel="1" x14ac:dyDescent="0.4">
      <c r="A191" s="17" t="str">
        <f>IF(AND(D191="",D191=""),"",$D$3&amp;"_"&amp;ROW()-11-COUNTBLANK($D$12:D191))</f>
        <v>Register_146</v>
      </c>
      <c r="B191" s="65" t="s">
        <v>298</v>
      </c>
      <c r="C191" s="21" t="s">
        <v>435</v>
      </c>
      <c r="D191" s="34" t="s">
        <v>423</v>
      </c>
      <c r="E191" s="19"/>
      <c r="F191" s="19"/>
      <c r="G191" s="19"/>
      <c r="H191" s="4"/>
      <c r="I191" s="4"/>
      <c r="J191" s="4"/>
      <c r="K191" s="4"/>
      <c r="L191" s="4"/>
      <c r="M191" s="4"/>
      <c r="N191" s="4"/>
      <c r="O191" s="4"/>
      <c r="P191" s="4"/>
      <c r="Q191" s="20" t="str">
        <f t="shared" si="0"/>
        <v/>
      </c>
      <c r="R191" s="5"/>
      <c r="S191" s="2"/>
    </row>
    <row r="192" spans="1:19" ht="62" outlineLevel="1" x14ac:dyDescent="0.4">
      <c r="A192" s="17" t="str">
        <f>IF(AND(D192="",D192=""),"",$D$3&amp;"_"&amp;ROW()-11-COUNTBLANK($D$12:D192))</f>
        <v>Register_147</v>
      </c>
      <c r="B192" s="66"/>
      <c r="C192" s="21" t="s">
        <v>436</v>
      </c>
      <c r="D192" s="34" t="s">
        <v>423</v>
      </c>
      <c r="E192" s="19"/>
      <c r="F192" s="19"/>
      <c r="G192" s="19"/>
      <c r="H192" s="4"/>
      <c r="I192" s="4"/>
      <c r="J192" s="4"/>
      <c r="K192" s="4"/>
      <c r="L192" s="4"/>
      <c r="M192" s="4"/>
      <c r="N192" s="4"/>
      <c r="O192" s="4"/>
      <c r="P192" s="4"/>
      <c r="Q192" s="20" t="str">
        <f t="shared" si="0"/>
        <v/>
      </c>
      <c r="R192" s="5"/>
      <c r="S192" s="2"/>
    </row>
    <row r="193" spans="1:19" ht="62" outlineLevel="1" x14ac:dyDescent="0.4">
      <c r="A193" s="17" t="str">
        <f>IF(AND(D193="",D193=""),"",$D$3&amp;"_"&amp;ROW()-11-COUNTBLANK($D$12:D193))</f>
        <v>Register_148</v>
      </c>
      <c r="B193" s="66"/>
      <c r="C193" s="21" t="s">
        <v>433</v>
      </c>
      <c r="D193" s="34" t="s">
        <v>423</v>
      </c>
      <c r="E193" s="19"/>
      <c r="F193" s="19"/>
      <c r="G193" s="19"/>
      <c r="H193" s="4"/>
      <c r="I193" s="4"/>
      <c r="J193" s="4"/>
      <c r="K193" s="4"/>
      <c r="L193" s="4"/>
      <c r="M193" s="4"/>
      <c r="N193" s="4"/>
      <c r="O193" s="4"/>
      <c r="P193" s="4"/>
      <c r="Q193" s="20" t="str">
        <f t="shared" si="0"/>
        <v/>
      </c>
      <c r="R193" s="5"/>
      <c r="S193" s="2"/>
    </row>
    <row r="194" spans="1:19" ht="77.5" outlineLevel="1" x14ac:dyDescent="0.4">
      <c r="A194" s="17" t="str">
        <f>IF(AND(D194="",D194=""),"",$D$3&amp;"_"&amp;ROW()-11-COUNTBLANK($D$12:D194))</f>
        <v>Register_149</v>
      </c>
      <c r="B194" s="67"/>
      <c r="C194" s="21" t="s">
        <v>439</v>
      </c>
      <c r="D194" s="34" t="s">
        <v>423</v>
      </c>
      <c r="E194" s="19"/>
      <c r="F194" s="19"/>
      <c r="G194" s="19"/>
      <c r="H194" s="4"/>
      <c r="I194" s="4"/>
      <c r="J194" s="4"/>
      <c r="K194" s="4"/>
      <c r="L194" s="4"/>
      <c r="M194" s="4"/>
      <c r="N194" s="4"/>
      <c r="O194" s="4"/>
      <c r="P194" s="4"/>
      <c r="Q194" s="20" t="str">
        <f t="shared" si="0"/>
        <v/>
      </c>
      <c r="R194" s="5"/>
      <c r="S194" s="2"/>
    </row>
    <row r="195" spans="1:19" ht="62" outlineLevel="1" x14ac:dyDescent="0.4">
      <c r="A195" s="17" t="str">
        <f>IF(AND(D195="",D195=""),"",$D$3&amp;"_"&amp;ROW()-11-COUNTBLANK($D$12:D195))</f>
        <v>Register_150</v>
      </c>
      <c r="B195" s="68" t="s">
        <v>440</v>
      </c>
      <c r="C195" s="21" t="s">
        <v>441</v>
      </c>
      <c r="D195" s="34" t="s">
        <v>423</v>
      </c>
      <c r="E195" s="19"/>
      <c r="F195" s="19"/>
      <c r="G195" s="19"/>
      <c r="H195" s="4"/>
      <c r="I195" s="4"/>
      <c r="J195" s="4"/>
      <c r="K195" s="4"/>
      <c r="L195" s="4"/>
      <c r="M195" s="4"/>
      <c r="N195" s="4"/>
      <c r="O195" s="4"/>
      <c r="P195" s="4"/>
      <c r="Q195" s="20" t="str">
        <f t="shared" si="0"/>
        <v/>
      </c>
      <c r="R195" s="39"/>
      <c r="S195" s="2"/>
    </row>
    <row r="196" spans="1:19" ht="62" outlineLevel="1" x14ac:dyDescent="0.4">
      <c r="A196" s="17" t="str">
        <f>IF(AND(D196="",D196=""),"",$D$3&amp;"_"&amp;ROW()-11-COUNTBLANK($D$12:D196))</f>
        <v>Register_151</v>
      </c>
      <c r="B196" s="68"/>
      <c r="C196" s="21" t="s">
        <v>442</v>
      </c>
      <c r="D196" s="34" t="s">
        <v>423</v>
      </c>
      <c r="E196" s="19"/>
      <c r="F196" s="19"/>
      <c r="G196" s="19"/>
      <c r="H196" s="4"/>
      <c r="I196" s="4"/>
      <c r="J196" s="4"/>
      <c r="K196" s="4"/>
      <c r="L196" s="4"/>
      <c r="M196" s="4"/>
      <c r="N196" s="4"/>
      <c r="O196" s="4"/>
      <c r="P196" s="4"/>
      <c r="Q196" s="20"/>
      <c r="R196" s="39"/>
      <c r="S196" s="2"/>
    </row>
    <row r="197" spans="1:19" x14ac:dyDescent="0.4">
      <c r="A197" s="17" t="str">
        <f>IF(AND(D197="",D197=""),"",$D$3&amp;"_"&amp;ROW()-11-COUNTBLANK($D$12:D197))</f>
        <v/>
      </c>
      <c r="B197" s="33" t="s">
        <v>83</v>
      </c>
      <c r="C197" s="33"/>
      <c r="D197" s="33"/>
      <c r="E197" s="19"/>
      <c r="F197" s="19"/>
      <c r="G197" s="19"/>
      <c r="H197" s="4"/>
      <c r="I197" s="4"/>
      <c r="J197" s="4"/>
      <c r="K197" s="4"/>
      <c r="L197" s="4"/>
      <c r="M197" s="4"/>
      <c r="N197" s="4"/>
      <c r="O197" s="4"/>
      <c r="P197" s="4"/>
      <c r="Q197" s="20" t="str">
        <f t="shared" ref="Q197:Q260" si="1">IF(OR(IF(G197="",IF(F197="",IF(E197="","",E197),F197),G197)="F",IF(J197="",IF(I197="",IF(H197="","",H197),I197),J197)="F",IF(M197="",IF(L197="",IF(K197="","",K197),L197),M197)="F",IF(P197="",IF(O197="",IF(N197="","",N197),O197),P197)="F")=TRUE,"F",IF(OR(IF(G197="",IF(F197="",IF(E197="","",E197),F197),G197)="PE",IF(J197="",IF(I197="",IF(H197="","",H197),I197),J197)="PE",IF(M197="",IF(L197="",IF(K197="","",K197),L197),M197)="PE",IF(P197="",IF(O197="",IF(N197="","",N197),O197),P197)="PE")=TRUE,"PE",IF(AND(IF(G197="",IF(F197="",IF(E197="","",E197),F197),G197)="",IF(J197="",IF(I197="",IF(H197="","",H197),I197),J197)="",IF(M197="",IF(L197="",IF(K197="","",K197),L197),M197)="",IF(P197="",IF(O197="",IF(N197="","",N197),O197),P197)="")=TRUE,"","P")))</f>
        <v/>
      </c>
      <c r="R197" s="5"/>
      <c r="S197" s="2"/>
    </row>
    <row r="198" spans="1:19" ht="46.5" outlineLevel="1" x14ac:dyDescent="0.4">
      <c r="A198" s="17" t="str">
        <f>IF(AND(D198="",D198=""),"",$D$3&amp;"_"&amp;ROW()-11-COUNTBLANK($D$12:D198))</f>
        <v>Register_152</v>
      </c>
      <c r="B198" s="34" t="s">
        <v>443</v>
      </c>
      <c r="C198" s="21" t="s">
        <v>444</v>
      </c>
      <c r="D198" s="34" t="s">
        <v>445</v>
      </c>
      <c r="E198" s="19"/>
      <c r="F198" s="19"/>
      <c r="G198" s="19"/>
      <c r="H198" s="4"/>
      <c r="I198" s="4"/>
      <c r="J198" s="4"/>
      <c r="K198" s="4"/>
      <c r="L198" s="4"/>
      <c r="M198" s="4"/>
      <c r="N198" s="4"/>
      <c r="O198" s="4"/>
      <c r="P198" s="4"/>
      <c r="Q198" s="20" t="str">
        <f t="shared" si="1"/>
        <v/>
      </c>
      <c r="R198" s="5"/>
      <c r="S198" s="2"/>
    </row>
    <row r="199" spans="1:19" ht="46.5" outlineLevel="1" x14ac:dyDescent="0.4">
      <c r="A199" s="17" t="str">
        <f>IF(AND(D199="",D199=""),"",$D$3&amp;"_"&amp;ROW()-11-COUNTBLANK($D$12:D199))</f>
        <v>Register_153</v>
      </c>
      <c r="B199" s="34" t="s">
        <v>446</v>
      </c>
      <c r="C199" s="21" t="s">
        <v>447</v>
      </c>
      <c r="D199" s="34" t="s">
        <v>445</v>
      </c>
      <c r="E199" s="19"/>
      <c r="F199" s="19"/>
      <c r="G199" s="19"/>
      <c r="H199" s="4"/>
      <c r="I199" s="4"/>
      <c r="J199" s="4"/>
      <c r="K199" s="4"/>
      <c r="L199" s="4"/>
      <c r="M199" s="4"/>
      <c r="N199" s="4"/>
      <c r="O199" s="4"/>
      <c r="P199" s="4"/>
      <c r="Q199" s="20" t="str">
        <f t="shared" si="1"/>
        <v/>
      </c>
      <c r="R199" s="5"/>
      <c r="S199" s="2"/>
    </row>
    <row r="200" spans="1:19" ht="46.5" outlineLevel="1" x14ac:dyDescent="0.4">
      <c r="A200" s="17" t="str">
        <f>IF(AND(D200="",D200=""),"",$D$3&amp;"_"&amp;ROW()-11-COUNTBLANK($D$12:D200))</f>
        <v>Register_154</v>
      </c>
      <c r="B200" s="69" t="s">
        <v>448</v>
      </c>
      <c r="C200" s="21" t="s">
        <v>449</v>
      </c>
      <c r="D200" s="34" t="s">
        <v>445</v>
      </c>
      <c r="E200" s="19"/>
      <c r="F200" s="19"/>
      <c r="G200" s="19"/>
      <c r="H200" s="4"/>
      <c r="I200" s="4"/>
      <c r="J200" s="4"/>
      <c r="K200" s="4"/>
      <c r="L200" s="4"/>
      <c r="M200" s="4"/>
      <c r="N200" s="4"/>
      <c r="O200" s="4"/>
      <c r="P200" s="4"/>
      <c r="Q200" s="20" t="str">
        <f t="shared" si="1"/>
        <v/>
      </c>
      <c r="R200" s="5"/>
      <c r="S200" s="2"/>
    </row>
    <row r="201" spans="1:19" outlineLevel="1" x14ac:dyDescent="0.4">
      <c r="A201" s="17" t="str">
        <f>IF(AND(D201="",D201=""),"",$D$3&amp;"_"&amp;ROW()-11-COUNTBLANK($D$12:D201))</f>
        <v/>
      </c>
      <c r="B201" s="34"/>
      <c r="C201" s="21"/>
      <c r="D201" s="34"/>
      <c r="E201" s="19"/>
      <c r="F201" s="19"/>
      <c r="G201" s="19"/>
      <c r="H201" s="4"/>
      <c r="I201" s="4"/>
      <c r="J201" s="4"/>
      <c r="K201" s="4"/>
      <c r="L201" s="4"/>
      <c r="M201" s="4"/>
      <c r="N201" s="4"/>
      <c r="O201" s="4"/>
      <c r="P201" s="4"/>
      <c r="Q201" s="20" t="str">
        <f t="shared" si="1"/>
        <v/>
      </c>
      <c r="R201" s="5"/>
      <c r="S201" s="2"/>
    </row>
    <row r="202" spans="1:19" outlineLevel="1" x14ac:dyDescent="0.4">
      <c r="A202" s="17" t="str">
        <f>IF(AND(D202="",D202=""),"",$D$3&amp;"_"&amp;ROW()-11-COUNTBLANK($D$12:D202))</f>
        <v/>
      </c>
      <c r="B202" s="34"/>
      <c r="C202" s="21"/>
      <c r="D202" s="34"/>
      <c r="E202" s="19"/>
      <c r="F202" s="19"/>
      <c r="G202" s="19"/>
      <c r="H202" s="4"/>
      <c r="I202" s="4"/>
      <c r="J202" s="4"/>
      <c r="K202" s="4"/>
      <c r="L202" s="4"/>
      <c r="M202" s="4"/>
      <c r="N202" s="4"/>
      <c r="O202" s="4"/>
      <c r="P202" s="4"/>
      <c r="Q202" s="20" t="str">
        <f t="shared" si="1"/>
        <v/>
      </c>
      <c r="R202" s="5"/>
      <c r="S202" s="2"/>
    </row>
    <row r="203" spans="1:19" x14ac:dyDescent="0.4">
      <c r="A203" s="17" t="str">
        <f>IF(AND(D203="",D203=""),"",$D$3&amp;"_"&amp;ROW()-11-COUNTBLANK($D$12:D203))</f>
        <v/>
      </c>
      <c r="B203" s="34"/>
      <c r="C203" s="21"/>
      <c r="D203" s="27"/>
      <c r="E203" s="19"/>
      <c r="F203" s="19"/>
      <c r="G203" s="19"/>
      <c r="H203" s="4"/>
      <c r="I203" s="4"/>
      <c r="J203" s="4"/>
      <c r="K203" s="4"/>
      <c r="L203" s="4"/>
      <c r="M203" s="4"/>
      <c r="N203" s="4"/>
      <c r="O203" s="4"/>
      <c r="P203" s="4"/>
      <c r="Q203" s="20" t="str">
        <f t="shared" si="1"/>
        <v/>
      </c>
      <c r="R203" s="5"/>
      <c r="S203" s="2"/>
    </row>
    <row r="204" spans="1:19" x14ac:dyDescent="0.4">
      <c r="A204" s="17" t="str">
        <f>IF(AND(D204="",D204=""),"",$D$3&amp;"_"&amp;ROW()-11-COUNTBLANK($D$12:D204))</f>
        <v/>
      </c>
      <c r="B204" s="34"/>
      <c r="C204" s="21"/>
      <c r="D204" s="27"/>
      <c r="E204" s="19"/>
      <c r="F204" s="19"/>
      <c r="G204" s="19"/>
      <c r="H204" s="4"/>
      <c r="I204" s="4"/>
      <c r="J204" s="4"/>
      <c r="K204" s="4"/>
      <c r="L204" s="4"/>
      <c r="M204" s="4"/>
      <c r="N204" s="4"/>
      <c r="O204" s="4"/>
      <c r="P204" s="4"/>
      <c r="Q204" s="20" t="str">
        <f t="shared" si="1"/>
        <v/>
      </c>
      <c r="R204" s="5"/>
      <c r="S204" s="2"/>
    </row>
    <row r="205" spans="1:19" x14ac:dyDescent="0.4">
      <c r="A205" s="17" t="str">
        <f>IF(AND(D205="",D205=""),"",$D$3&amp;"_"&amp;ROW()-11-COUNTBLANK($D$12:D205))</f>
        <v/>
      </c>
      <c r="B205" s="34"/>
      <c r="C205" s="21"/>
      <c r="D205" s="27"/>
      <c r="E205" s="19"/>
      <c r="F205" s="19"/>
      <c r="G205" s="19"/>
      <c r="H205" s="4"/>
      <c r="I205" s="4"/>
      <c r="J205" s="4"/>
      <c r="K205" s="4"/>
      <c r="L205" s="4"/>
      <c r="M205" s="4"/>
      <c r="N205" s="4"/>
      <c r="O205" s="4"/>
      <c r="P205" s="4"/>
      <c r="Q205" s="20" t="str">
        <f t="shared" si="1"/>
        <v/>
      </c>
      <c r="R205" s="5"/>
      <c r="S205" s="2"/>
    </row>
    <row r="206" spans="1:19" x14ac:dyDescent="0.4">
      <c r="A206" s="17" t="str">
        <f>IF(AND(D206="",D206=""),"",$D$3&amp;"_"&amp;ROW()-11-COUNTBLANK($D$12:D206))</f>
        <v/>
      </c>
      <c r="B206" s="34"/>
      <c r="C206" s="21"/>
      <c r="D206" s="27"/>
      <c r="E206" s="19"/>
      <c r="F206" s="19"/>
      <c r="G206" s="19"/>
      <c r="H206" s="4"/>
      <c r="I206" s="4"/>
      <c r="J206" s="4"/>
      <c r="K206" s="4"/>
      <c r="L206" s="4"/>
      <c r="M206" s="4"/>
      <c r="N206" s="4"/>
      <c r="O206" s="4"/>
      <c r="P206" s="4"/>
      <c r="Q206" s="20" t="str">
        <f t="shared" si="1"/>
        <v/>
      </c>
      <c r="R206" s="5"/>
      <c r="S206" s="2"/>
    </row>
    <row r="207" spans="1:19" x14ac:dyDescent="0.4">
      <c r="A207" s="17" t="str">
        <f>IF(AND(D207="",D207=""),"",$D$3&amp;"_"&amp;ROW()-11-COUNTBLANK($D$12:D207))</f>
        <v/>
      </c>
      <c r="B207" s="34"/>
      <c r="C207" s="21"/>
      <c r="D207" s="27"/>
      <c r="E207" s="19"/>
      <c r="F207" s="19"/>
      <c r="G207" s="19"/>
      <c r="H207" s="4"/>
      <c r="I207" s="4"/>
      <c r="J207" s="4"/>
      <c r="K207" s="4"/>
      <c r="L207" s="4"/>
      <c r="M207" s="4"/>
      <c r="N207" s="4"/>
      <c r="O207" s="4"/>
      <c r="P207" s="4"/>
      <c r="Q207" s="20" t="str">
        <f t="shared" si="1"/>
        <v/>
      </c>
      <c r="R207" s="5"/>
      <c r="S207" s="2"/>
    </row>
    <row r="208" spans="1:19" x14ac:dyDescent="0.4">
      <c r="A208" s="17" t="str">
        <f>IF(AND(D208="",D208=""),"",$D$3&amp;"_"&amp;ROW()-11-COUNTBLANK($D$12:D208))</f>
        <v/>
      </c>
      <c r="B208" s="34"/>
      <c r="C208" s="21"/>
      <c r="D208" s="27"/>
      <c r="E208" s="19"/>
      <c r="F208" s="19"/>
      <c r="G208" s="19"/>
      <c r="H208" s="4"/>
      <c r="I208" s="4"/>
      <c r="J208" s="4"/>
      <c r="K208" s="4"/>
      <c r="L208" s="4"/>
      <c r="M208" s="4"/>
      <c r="N208" s="4"/>
      <c r="O208" s="4"/>
      <c r="P208" s="4"/>
      <c r="Q208" s="20" t="str">
        <f t="shared" si="1"/>
        <v/>
      </c>
      <c r="R208" s="5"/>
      <c r="S208" s="2"/>
    </row>
    <row r="209" spans="1:19" x14ac:dyDescent="0.4">
      <c r="A209" s="17" t="str">
        <f>IF(AND(D209="",D209=""),"",$D$3&amp;"_"&amp;ROW()-11-COUNTBLANK($D$12:D209))</f>
        <v/>
      </c>
      <c r="B209" s="34"/>
      <c r="C209" s="21"/>
      <c r="D209" s="27"/>
      <c r="E209" s="19"/>
      <c r="F209" s="19"/>
      <c r="G209" s="19"/>
      <c r="H209" s="4"/>
      <c r="I209" s="4"/>
      <c r="J209" s="4"/>
      <c r="K209" s="4"/>
      <c r="L209" s="4"/>
      <c r="M209" s="4"/>
      <c r="N209" s="4"/>
      <c r="O209" s="4"/>
      <c r="P209" s="4"/>
      <c r="Q209" s="20" t="str">
        <f t="shared" si="1"/>
        <v/>
      </c>
      <c r="R209" s="5"/>
      <c r="S209" s="2"/>
    </row>
    <row r="210" spans="1:19" x14ac:dyDescent="0.4">
      <c r="A210" s="17" t="str">
        <f>IF(AND(D210="",D210=""),"",$D$3&amp;"_"&amp;ROW()-11-COUNTBLANK($D$12:D210))</f>
        <v/>
      </c>
      <c r="B210" s="34"/>
      <c r="C210" s="21"/>
      <c r="D210" s="27"/>
      <c r="E210" s="19"/>
      <c r="F210" s="19"/>
      <c r="G210" s="19"/>
      <c r="H210" s="4"/>
      <c r="I210" s="4"/>
      <c r="J210" s="4"/>
      <c r="K210" s="4"/>
      <c r="L210" s="4"/>
      <c r="M210" s="4"/>
      <c r="N210" s="4"/>
      <c r="O210" s="4"/>
      <c r="P210" s="4"/>
      <c r="Q210" s="20" t="str">
        <f t="shared" si="1"/>
        <v/>
      </c>
      <c r="R210" s="5"/>
      <c r="S210" s="2"/>
    </row>
    <row r="211" spans="1:19" x14ac:dyDescent="0.4">
      <c r="A211" s="17" t="str">
        <f>IF(AND(D211="",D211=""),"",$D$3&amp;"_"&amp;ROW()-11-COUNTBLANK($D$12:D211))</f>
        <v/>
      </c>
      <c r="B211" s="34"/>
      <c r="C211" s="21"/>
      <c r="D211" s="27"/>
      <c r="E211" s="19"/>
      <c r="F211" s="19"/>
      <c r="G211" s="19"/>
      <c r="H211" s="4"/>
      <c r="I211" s="4"/>
      <c r="J211" s="4"/>
      <c r="K211" s="4"/>
      <c r="L211" s="4"/>
      <c r="M211" s="4"/>
      <c r="N211" s="4"/>
      <c r="O211" s="4"/>
      <c r="P211" s="4"/>
      <c r="Q211" s="20" t="str">
        <f t="shared" si="1"/>
        <v/>
      </c>
      <c r="R211" s="5"/>
      <c r="S211" s="2"/>
    </row>
    <row r="212" spans="1:19" x14ac:dyDescent="0.4">
      <c r="A212" s="17" t="str">
        <f>IF(AND(D212="",D212=""),"",$D$3&amp;"_"&amp;ROW()-11-COUNTBLANK($D$12:D212))</f>
        <v/>
      </c>
      <c r="B212" s="26"/>
      <c r="C212" s="27"/>
      <c r="D212" s="27"/>
      <c r="E212" s="19"/>
      <c r="F212" s="19"/>
      <c r="G212" s="19"/>
      <c r="H212" s="4"/>
      <c r="I212" s="4"/>
      <c r="J212" s="4"/>
      <c r="K212" s="4"/>
      <c r="L212" s="4"/>
      <c r="M212" s="4"/>
      <c r="N212" s="4"/>
      <c r="O212" s="4"/>
      <c r="P212" s="4"/>
      <c r="Q212" s="20" t="str">
        <f t="shared" si="1"/>
        <v/>
      </c>
      <c r="R212" s="5"/>
      <c r="S212" s="2"/>
    </row>
    <row r="213" spans="1:19" x14ac:dyDescent="0.4">
      <c r="A213" s="17" t="str">
        <f>IF(AND(D213="",D213=""),"",$D$3&amp;"_"&amp;ROW()-11-COUNTBLANK($D$12:D213))</f>
        <v/>
      </c>
      <c r="B213" s="26"/>
      <c r="C213" s="27"/>
      <c r="D213" s="27"/>
      <c r="E213" s="19"/>
      <c r="F213" s="19"/>
      <c r="G213" s="19"/>
      <c r="H213" s="4"/>
      <c r="I213" s="4"/>
      <c r="J213" s="4"/>
      <c r="K213" s="4"/>
      <c r="L213" s="4"/>
      <c r="M213" s="4"/>
      <c r="N213" s="4"/>
      <c r="O213" s="4"/>
      <c r="P213" s="4"/>
      <c r="Q213" s="20" t="str">
        <f t="shared" si="1"/>
        <v/>
      </c>
      <c r="R213" s="39"/>
      <c r="S213" s="2"/>
    </row>
    <row r="214" spans="1:19" x14ac:dyDescent="0.4">
      <c r="A214" s="17" t="str">
        <f>IF(AND(D214="",D214=""),"",$D$3&amp;"_"&amp;ROW()-11-COUNTBLANK($D$12:D214))</f>
        <v/>
      </c>
      <c r="B214" s="26"/>
      <c r="C214" s="27"/>
      <c r="D214" s="41"/>
      <c r="E214" s="19"/>
      <c r="F214" s="19"/>
      <c r="G214" s="19"/>
      <c r="H214" s="4"/>
      <c r="I214" s="4"/>
      <c r="J214" s="4"/>
      <c r="K214" s="4"/>
      <c r="L214" s="4"/>
      <c r="M214" s="4"/>
      <c r="N214" s="4"/>
      <c r="O214" s="4"/>
      <c r="P214" s="4"/>
      <c r="Q214" s="20" t="str">
        <f t="shared" si="1"/>
        <v/>
      </c>
      <c r="R214" s="39"/>
      <c r="S214" s="2"/>
    </row>
    <row r="215" spans="1:19" x14ac:dyDescent="0.4">
      <c r="A215" s="17" t="str">
        <f>IF(AND(D215="",D215=""),"",$D$3&amp;"_"&amp;ROW()-11-COUNTBLANK($D$12:D215))</f>
        <v/>
      </c>
      <c r="B215" s="26"/>
      <c r="C215" s="27"/>
      <c r="D215" s="27"/>
      <c r="E215" s="19"/>
      <c r="F215" s="19"/>
      <c r="G215" s="19"/>
      <c r="H215" s="4"/>
      <c r="I215" s="4"/>
      <c r="J215" s="4"/>
      <c r="K215" s="4"/>
      <c r="L215" s="4"/>
      <c r="M215" s="4"/>
      <c r="N215" s="4"/>
      <c r="O215" s="4"/>
      <c r="P215" s="4"/>
      <c r="Q215" s="20" t="str">
        <f t="shared" si="1"/>
        <v/>
      </c>
      <c r="R215" s="39"/>
      <c r="S215" s="2"/>
    </row>
    <row r="216" spans="1:19" x14ac:dyDescent="0.4">
      <c r="A216" s="17" t="str">
        <f>IF(AND(D216="",D216=""),"",$D$3&amp;"_"&amp;ROW()-11-COUNTBLANK($D$12:D216))</f>
        <v/>
      </c>
      <c r="B216" s="34"/>
      <c r="C216" s="21"/>
      <c r="D216" s="27"/>
      <c r="E216" s="19"/>
      <c r="F216" s="19"/>
      <c r="G216" s="19"/>
      <c r="H216" s="4"/>
      <c r="I216" s="4"/>
      <c r="J216" s="4"/>
      <c r="K216" s="4"/>
      <c r="L216" s="4"/>
      <c r="M216" s="4"/>
      <c r="N216" s="4"/>
      <c r="O216" s="4"/>
      <c r="P216" s="4"/>
      <c r="Q216" s="20" t="str">
        <f t="shared" si="1"/>
        <v/>
      </c>
      <c r="R216" s="5"/>
      <c r="S216" s="2"/>
    </row>
    <row r="217" spans="1:19" x14ac:dyDescent="0.4">
      <c r="A217" s="17" t="str">
        <f>IF(AND(D217="",D217=""),"",$D$3&amp;"_"&amp;ROW()-11-COUNTBLANK($D$12:D217))</f>
        <v/>
      </c>
      <c r="B217" s="34"/>
      <c r="C217" s="21"/>
      <c r="D217" s="27"/>
      <c r="E217" s="19"/>
      <c r="F217" s="19"/>
      <c r="G217" s="19"/>
      <c r="H217" s="4"/>
      <c r="I217" s="4"/>
      <c r="J217" s="4"/>
      <c r="K217" s="4"/>
      <c r="L217" s="4"/>
      <c r="M217" s="4"/>
      <c r="N217" s="4"/>
      <c r="O217" s="4"/>
      <c r="P217" s="4"/>
      <c r="Q217" s="20" t="str">
        <f t="shared" si="1"/>
        <v/>
      </c>
      <c r="R217" s="5"/>
      <c r="S217" s="2"/>
    </row>
    <row r="218" spans="1:19" x14ac:dyDescent="0.4">
      <c r="A218" s="17" t="str">
        <f>IF(AND(D218="",D218=""),"",$D$3&amp;"_"&amp;ROW()-11-COUNTBLANK($D$12:D218))</f>
        <v/>
      </c>
      <c r="B218" s="34"/>
      <c r="C218" s="21"/>
      <c r="D218" s="27"/>
      <c r="E218" s="19"/>
      <c r="F218" s="19"/>
      <c r="G218" s="19"/>
      <c r="H218" s="4"/>
      <c r="I218" s="4"/>
      <c r="J218" s="4"/>
      <c r="K218" s="4"/>
      <c r="L218" s="4"/>
      <c r="M218" s="4"/>
      <c r="N218" s="4"/>
      <c r="O218" s="4"/>
      <c r="P218" s="4"/>
      <c r="Q218" s="20" t="str">
        <f t="shared" si="1"/>
        <v/>
      </c>
      <c r="R218" s="5"/>
      <c r="S218" s="2"/>
    </row>
    <row r="219" spans="1:19" x14ac:dyDescent="0.4">
      <c r="A219" s="17" t="str">
        <f>IF(AND(D219="",D219=""),"",$D$3&amp;"_"&amp;ROW()-11-COUNTBLANK($D$12:D219))</f>
        <v/>
      </c>
      <c r="B219" s="34"/>
      <c r="C219" s="21"/>
      <c r="D219" s="27"/>
      <c r="E219" s="19"/>
      <c r="F219" s="19"/>
      <c r="G219" s="19"/>
      <c r="H219" s="4"/>
      <c r="I219" s="4"/>
      <c r="J219" s="4"/>
      <c r="K219" s="4"/>
      <c r="L219" s="4"/>
      <c r="M219" s="4"/>
      <c r="N219" s="4"/>
      <c r="O219" s="4"/>
      <c r="P219" s="4"/>
      <c r="Q219" s="20" t="str">
        <f t="shared" si="1"/>
        <v/>
      </c>
      <c r="R219" s="5"/>
      <c r="S219" s="2"/>
    </row>
    <row r="220" spans="1:19" x14ac:dyDescent="0.4">
      <c r="A220" s="17" t="str">
        <f>IF(AND(D220="",D220=""),"",$D$3&amp;"_"&amp;ROW()-11-COUNTBLANK($D$12:D220))</f>
        <v/>
      </c>
      <c r="B220" s="34"/>
      <c r="C220" s="21"/>
      <c r="D220" s="27"/>
      <c r="E220" s="19"/>
      <c r="F220" s="19"/>
      <c r="G220" s="19"/>
      <c r="H220" s="4"/>
      <c r="I220" s="4"/>
      <c r="J220" s="4"/>
      <c r="K220" s="4"/>
      <c r="L220" s="4"/>
      <c r="M220" s="4"/>
      <c r="N220" s="4"/>
      <c r="O220" s="4"/>
      <c r="P220" s="4"/>
      <c r="Q220" s="20" t="str">
        <f t="shared" si="1"/>
        <v/>
      </c>
      <c r="R220" s="5"/>
      <c r="S220" s="2"/>
    </row>
    <row r="221" spans="1:19" x14ac:dyDescent="0.4">
      <c r="A221" s="17" t="str">
        <f>IF(AND(D221="",D221=""),"",$D$3&amp;"_"&amp;ROW()-11-COUNTBLANK($D$12:D221))</f>
        <v/>
      </c>
      <c r="B221" s="34"/>
      <c r="C221" s="21"/>
      <c r="D221" s="27"/>
      <c r="E221" s="19"/>
      <c r="F221" s="19"/>
      <c r="G221" s="19"/>
      <c r="H221" s="4"/>
      <c r="I221" s="4"/>
      <c r="J221" s="4"/>
      <c r="K221" s="4"/>
      <c r="L221" s="4"/>
      <c r="M221" s="4"/>
      <c r="N221" s="4"/>
      <c r="O221" s="4"/>
      <c r="P221" s="4"/>
      <c r="Q221" s="20" t="str">
        <f t="shared" si="1"/>
        <v/>
      </c>
      <c r="R221" s="5"/>
      <c r="S221" s="2"/>
    </row>
    <row r="222" spans="1:19" x14ac:dyDescent="0.4">
      <c r="A222" s="17" t="str">
        <f>IF(AND(D222="",D222=""),"",$D$3&amp;"_"&amp;ROW()-11-COUNTBLANK($D$12:D222))</f>
        <v/>
      </c>
      <c r="B222" s="34"/>
      <c r="C222" s="21"/>
      <c r="D222" s="27"/>
      <c r="E222" s="19"/>
      <c r="F222" s="19"/>
      <c r="G222" s="19"/>
      <c r="H222" s="4"/>
      <c r="I222" s="4"/>
      <c r="J222" s="4"/>
      <c r="K222" s="4"/>
      <c r="L222" s="4"/>
      <c r="M222" s="4"/>
      <c r="N222" s="4"/>
      <c r="O222" s="4"/>
      <c r="P222" s="4"/>
      <c r="Q222" s="20" t="str">
        <f t="shared" si="1"/>
        <v/>
      </c>
      <c r="R222" s="5"/>
      <c r="S222" s="2"/>
    </row>
    <row r="223" spans="1:19" x14ac:dyDescent="0.4">
      <c r="A223" s="17" t="str">
        <f>IF(AND(D223="",D223=""),"",$D$3&amp;"_"&amp;ROW()-11-COUNTBLANK($D$12:D223))</f>
        <v/>
      </c>
      <c r="B223" s="34"/>
      <c r="C223" s="21"/>
      <c r="D223" s="27"/>
      <c r="E223" s="19"/>
      <c r="F223" s="19"/>
      <c r="G223" s="19"/>
      <c r="H223" s="4"/>
      <c r="I223" s="4"/>
      <c r="J223" s="4"/>
      <c r="K223" s="4"/>
      <c r="L223" s="4"/>
      <c r="M223" s="4"/>
      <c r="N223" s="4"/>
      <c r="O223" s="4"/>
      <c r="P223" s="4"/>
      <c r="Q223" s="20" t="str">
        <f t="shared" si="1"/>
        <v/>
      </c>
      <c r="R223" s="5"/>
      <c r="S223" s="2"/>
    </row>
    <row r="224" spans="1:19" x14ac:dyDescent="0.4">
      <c r="A224" s="17" t="str">
        <f>IF(AND(D224="",D224=""),"",$D$3&amp;"_"&amp;ROW()-11-COUNTBLANK($D$12:D224))</f>
        <v/>
      </c>
      <c r="B224" s="34"/>
      <c r="C224" s="21"/>
      <c r="D224" s="27"/>
      <c r="E224" s="19"/>
      <c r="F224" s="19"/>
      <c r="G224" s="19"/>
      <c r="H224" s="4"/>
      <c r="I224" s="4"/>
      <c r="J224" s="4"/>
      <c r="K224" s="4"/>
      <c r="L224" s="4"/>
      <c r="M224" s="4"/>
      <c r="N224" s="4"/>
      <c r="O224" s="4"/>
      <c r="P224" s="4"/>
      <c r="Q224" s="20" t="str">
        <f t="shared" si="1"/>
        <v/>
      </c>
      <c r="R224" s="5"/>
      <c r="S224" s="2"/>
    </row>
    <row r="225" spans="1:19" x14ac:dyDescent="0.4">
      <c r="A225" s="17" t="str">
        <f>IF(AND(D225="",D225=""),"",$D$3&amp;"_"&amp;ROW()-11-COUNTBLANK($D$12:D225))</f>
        <v/>
      </c>
      <c r="B225" s="34"/>
      <c r="C225" s="21"/>
      <c r="D225" s="27"/>
      <c r="E225" s="19"/>
      <c r="F225" s="19"/>
      <c r="G225" s="19"/>
      <c r="H225" s="4"/>
      <c r="I225" s="4"/>
      <c r="J225" s="4"/>
      <c r="K225" s="4"/>
      <c r="L225" s="4"/>
      <c r="M225" s="4"/>
      <c r="N225" s="4"/>
      <c r="O225" s="4"/>
      <c r="P225" s="4"/>
      <c r="Q225" s="20" t="str">
        <f t="shared" si="1"/>
        <v/>
      </c>
      <c r="R225" s="5"/>
      <c r="S225" s="2"/>
    </row>
    <row r="226" spans="1:19" x14ac:dyDescent="0.4">
      <c r="A226" s="17" t="str">
        <f>IF(AND(D226="",D226=""),"",$D$3&amp;"_"&amp;ROW()-11-COUNTBLANK($D$12:D226))</f>
        <v/>
      </c>
      <c r="B226" s="34"/>
      <c r="C226" s="21"/>
      <c r="D226" s="27"/>
      <c r="E226" s="19"/>
      <c r="F226" s="19"/>
      <c r="G226" s="19"/>
      <c r="H226" s="4"/>
      <c r="I226" s="4"/>
      <c r="J226" s="4"/>
      <c r="K226" s="4"/>
      <c r="L226" s="4"/>
      <c r="M226" s="4"/>
      <c r="N226" s="4"/>
      <c r="O226" s="4"/>
      <c r="P226" s="4"/>
      <c r="Q226" s="20" t="str">
        <f t="shared" si="1"/>
        <v/>
      </c>
      <c r="R226" s="5"/>
      <c r="S226" s="2"/>
    </row>
    <row r="227" spans="1:19" x14ac:dyDescent="0.4">
      <c r="A227" s="17" t="str">
        <f>IF(AND(D227="",D227=""),"",$D$3&amp;"_"&amp;ROW()-11-COUNTBLANK($D$12:D227))</f>
        <v/>
      </c>
      <c r="B227" s="34"/>
      <c r="C227" s="21"/>
      <c r="D227" s="27"/>
      <c r="E227" s="19"/>
      <c r="F227" s="19"/>
      <c r="G227" s="19"/>
      <c r="H227" s="4"/>
      <c r="I227" s="4"/>
      <c r="J227" s="4"/>
      <c r="K227" s="4"/>
      <c r="L227" s="4"/>
      <c r="M227" s="4"/>
      <c r="N227" s="4"/>
      <c r="O227" s="4"/>
      <c r="P227" s="4"/>
      <c r="Q227" s="20" t="str">
        <f t="shared" si="1"/>
        <v/>
      </c>
      <c r="R227" s="5"/>
      <c r="S227" s="2"/>
    </row>
    <row r="228" spans="1:19" x14ac:dyDescent="0.4">
      <c r="A228" s="17" t="str">
        <f>IF(AND(D228="",D228=""),"",$D$3&amp;"_"&amp;ROW()-11-COUNTBLANK($D$12:D228))</f>
        <v/>
      </c>
      <c r="B228" s="34"/>
      <c r="C228" s="21"/>
      <c r="D228" s="27"/>
      <c r="E228" s="19"/>
      <c r="F228" s="19"/>
      <c r="G228" s="19"/>
      <c r="H228" s="4"/>
      <c r="I228" s="4"/>
      <c r="J228" s="4"/>
      <c r="K228" s="4"/>
      <c r="L228" s="4"/>
      <c r="M228" s="4"/>
      <c r="N228" s="4"/>
      <c r="O228" s="4"/>
      <c r="P228" s="4"/>
      <c r="Q228" s="20" t="str">
        <f t="shared" si="1"/>
        <v/>
      </c>
      <c r="R228" s="5"/>
      <c r="S228" s="2"/>
    </row>
    <row r="229" spans="1:19" x14ac:dyDescent="0.4">
      <c r="A229" s="17" t="str">
        <f>IF(AND(D229="",D229=""),"",$D$3&amp;"_"&amp;ROW()-11-COUNTBLANK($D$12:D229))</f>
        <v/>
      </c>
      <c r="B229" s="34"/>
      <c r="C229" s="21"/>
      <c r="D229" s="27"/>
      <c r="E229" s="19"/>
      <c r="F229" s="19"/>
      <c r="G229" s="19"/>
      <c r="H229" s="4"/>
      <c r="I229" s="4"/>
      <c r="J229" s="4"/>
      <c r="K229" s="4"/>
      <c r="L229" s="4"/>
      <c r="M229" s="4"/>
      <c r="N229" s="4"/>
      <c r="O229" s="4"/>
      <c r="P229" s="4"/>
      <c r="Q229" s="20" t="str">
        <f t="shared" si="1"/>
        <v/>
      </c>
      <c r="R229" s="5"/>
      <c r="S229" s="2"/>
    </row>
    <row r="230" spans="1:19" x14ac:dyDescent="0.4">
      <c r="A230" s="17" t="str">
        <f>IF(AND(D230="",D230=""),"",$D$3&amp;"_"&amp;ROW()-11-COUNTBLANK($D$12:D230))</f>
        <v/>
      </c>
      <c r="B230" s="34"/>
      <c r="C230" s="21"/>
      <c r="D230" s="27"/>
      <c r="E230" s="19"/>
      <c r="F230" s="19"/>
      <c r="G230" s="19"/>
      <c r="H230" s="4"/>
      <c r="I230" s="4"/>
      <c r="J230" s="4"/>
      <c r="K230" s="4"/>
      <c r="L230" s="4"/>
      <c r="M230" s="4"/>
      <c r="N230" s="4"/>
      <c r="O230" s="4"/>
      <c r="P230" s="4"/>
      <c r="Q230" s="20" t="str">
        <f t="shared" si="1"/>
        <v/>
      </c>
      <c r="R230" s="5"/>
      <c r="S230" s="2"/>
    </row>
    <row r="231" spans="1:19" x14ac:dyDescent="0.4">
      <c r="A231" s="17" t="str">
        <f>IF(AND(D231="",D231=""),"",$D$3&amp;"_"&amp;ROW()-11-COUNTBLANK($D$12:D231))</f>
        <v/>
      </c>
      <c r="B231" s="26"/>
      <c r="C231" s="27"/>
      <c r="D231" s="27"/>
      <c r="E231" s="19"/>
      <c r="F231" s="19"/>
      <c r="G231" s="19"/>
      <c r="H231" s="4"/>
      <c r="I231" s="4"/>
      <c r="J231" s="4"/>
      <c r="K231" s="4"/>
      <c r="L231" s="4"/>
      <c r="M231" s="4"/>
      <c r="N231" s="4"/>
      <c r="O231" s="4"/>
      <c r="P231" s="4"/>
      <c r="Q231" s="20" t="str">
        <f t="shared" si="1"/>
        <v/>
      </c>
      <c r="R231" s="5"/>
      <c r="S231" s="2"/>
    </row>
    <row r="232" spans="1:19" x14ac:dyDescent="0.4">
      <c r="A232" s="17" t="str">
        <f>IF(AND(D232="",D232=""),"",$D$3&amp;"_"&amp;ROW()-11-COUNTBLANK($D$12:D232))</f>
        <v/>
      </c>
      <c r="B232" s="26"/>
      <c r="C232" s="27"/>
      <c r="D232" s="27"/>
      <c r="E232" s="19"/>
      <c r="F232" s="19"/>
      <c r="G232" s="19"/>
      <c r="H232" s="4"/>
      <c r="I232" s="4"/>
      <c r="J232" s="4"/>
      <c r="K232" s="4"/>
      <c r="L232" s="4"/>
      <c r="M232" s="4"/>
      <c r="N232" s="4"/>
      <c r="O232" s="4"/>
      <c r="P232" s="4"/>
      <c r="Q232" s="20" t="str">
        <f t="shared" si="1"/>
        <v/>
      </c>
      <c r="R232" s="39"/>
      <c r="S232" s="2"/>
    </row>
    <row r="233" spans="1:19" x14ac:dyDescent="0.4">
      <c r="A233" s="17" t="str">
        <f>IF(AND(D233="",D233=""),"",$D$3&amp;"_"&amp;ROW()-11-COUNTBLANK($D$12:D233))</f>
        <v/>
      </c>
      <c r="B233" s="26"/>
      <c r="C233" s="27"/>
      <c r="D233" s="41"/>
      <c r="E233" s="19"/>
      <c r="F233" s="19"/>
      <c r="G233" s="19"/>
      <c r="H233" s="4"/>
      <c r="I233" s="4"/>
      <c r="J233" s="4"/>
      <c r="K233" s="4"/>
      <c r="L233" s="4"/>
      <c r="M233" s="4"/>
      <c r="N233" s="4"/>
      <c r="O233" s="4"/>
      <c r="P233" s="4"/>
      <c r="Q233" s="20" t="str">
        <f t="shared" si="1"/>
        <v/>
      </c>
      <c r="R233" s="39"/>
      <c r="S233" s="2"/>
    </row>
    <row r="234" spans="1:19" x14ac:dyDescent="0.4">
      <c r="A234" s="17" t="str">
        <f>IF(AND(D234="",D234=""),"",$D$3&amp;"_"&amp;ROW()-11-COUNTBLANK($D$12:D234))</f>
        <v/>
      </c>
      <c r="B234" s="26"/>
      <c r="C234" s="27"/>
      <c r="D234" s="27"/>
      <c r="E234" s="19"/>
      <c r="F234" s="19"/>
      <c r="G234" s="19"/>
      <c r="H234" s="4"/>
      <c r="I234" s="4"/>
      <c r="J234" s="4"/>
      <c r="K234" s="4"/>
      <c r="L234" s="4"/>
      <c r="M234" s="4"/>
      <c r="N234" s="4"/>
      <c r="O234" s="4"/>
      <c r="P234" s="4"/>
      <c r="Q234" s="20" t="str">
        <f t="shared" si="1"/>
        <v/>
      </c>
      <c r="R234" s="39"/>
      <c r="S234" s="2"/>
    </row>
    <row r="235" spans="1:19" x14ac:dyDescent="0.4">
      <c r="A235" s="17" t="str">
        <f>IF(AND(D235="",D235=""),"",$D$3&amp;"_"&amp;ROW()-11-COUNTBLANK($D$12:D235))</f>
        <v/>
      </c>
      <c r="B235" s="34"/>
      <c r="C235" s="21"/>
      <c r="D235" s="27"/>
      <c r="E235" s="19"/>
      <c r="F235" s="19"/>
      <c r="G235" s="19"/>
      <c r="H235" s="4"/>
      <c r="I235" s="4"/>
      <c r="J235" s="4"/>
      <c r="K235" s="4"/>
      <c r="L235" s="4"/>
      <c r="M235" s="4"/>
      <c r="N235" s="4"/>
      <c r="O235" s="4"/>
      <c r="P235" s="4"/>
      <c r="Q235" s="20" t="str">
        <f t="shared" si="1"/>
        <v/>
      </c>
      <c r="R235" s="5"/>
      <c r="S235" s="2"/>
    </row>
    <row r="236" spans="1:19" x14ac:dyDescent="0.4">
      <c r="A236" s="17" t="str">
        <f>IF(AND(D236="",D236=""),"",$D$3&amp;"_"&amp;ROW()-11-COUNTBLANK($D$12:D236))</f>
        <v/>
      </c>
      <c r="B236" s="34"/>
      <c r="C236" s="21"/>
      <c r="D236" s="27"/>
      <c r="E236" s="19"/>
      <c r="F236" s="19"/>
      <c r="G236" s="19"/>
      <c r="H236" s="4"/>
      <c r="I236" s="4"/>
      <c r="J236" s="4"/>
      <c r="K236" s="4"/>
      <c r="L236" s="4"/>
      <c r="M236" s="4"/>
      <c r="N236" s="4"/>
      <c r="O236" s="4"/>
      <c r="P236" s="4"/>
      <c r="Q236" s="20" t="str">
        <f t="shared" si="1"/>
        <v/>
      </c>
      <c r="R236" s="5"/>
      <c r="S236" s="2"/>
    </row>
    <row r="237" spans="1:19" x14ac:dyDescent="0.4">
      <c r="A237" s="17" t="str">
        <f>IF(AND(D237="",D237=""),"",$D$3&amp;"_"&amp;ROW()-11-COUNTBLANK($D$12:D237))</f>
        <v/>
      </c>
      <c r="B237" s="34"/>
      <c r="C237" s="21"/>
      <c r="D237" s="27"/>
      <c r="E237" s="19"/>
      <c r="F237" s="19"/>
      <c r="G237" s="19"/>
      <c r="H237" s="4"/>
      <c r="I237" s="4"/>
      <c r="J237" s="4"/>
      <c r="K237" s="4"/>
      <c r="L237" s="4"/>
      <c r="M237" s="4"/>
      <c r="N237" s="4"/>
      <c r="O237" s="4"/>
      <c r="P237" s="4"/>
      <c r="Q237" s="20" t="str">
        <f t="shared" si="1"/>
        <v/>
      </c>
      <c r="R237" s="5"/>
      <c r="S237" s="2"/>
    </row>
    <row r="238" spans="1:19" x14ac:dyDescent="0.4">
      <c r="A238" s="17" t="str">
        <f>IF(AND(D238="",D238=""),"",$D$3&amp;"_"&amp;ROW()-11-COUNTBLANK($D$12:D238))</f>
        <v/>
      </c>
      <c r="B238" s="34"/>
      <c r="C238" s="21"/>
      <c r="D238" s="27"/>
      <c r="E238" s="19"/>
      <c r="F238" s="19"/>
      <c r="G238" s="19"/>
      <c r="H238" s="4"/>
      <c r="I238" s="4"/>
      <c r="J238" s="4"/>
      <c r="K238" s="4"/>
      <c r="L238" s="4"/>
      <c r="M238" s="4"/>
      <c r="N238" s="4"/>
      <c r="O238" s="4"/>
      <c r="P238" s="4"/>
      <c r="Q238" s="20" t="str">
        <f t="shared" si="1"/>
        <v/>
      </c>
      <c r="R238" s="5"/>
      <c r="S238" s="2"/>
    </row>
    <row r="239" spans="1:19" x14ac:dyDescent="0.4">
      <c r="A239" s="17" t="str">
        <f>IF(AND(D239="",D239=""),"",$D$3&amp;"_"&amp;ROW()-11-COUNTBLANK($D$12:D239))</f>
        <v/>
      </c>
      <c r="B239" s="34"/>
      <c r="C239" s="21"/>
      <c r="D239" s="27"/>
      <c r="E239" s="19"/>
      <c r="F239" s="19"/>
      <c r="G239" s="19"/>
      <c r="H239" s="4"/>
      <c r="I239" s="4"/>
      <c r="J239" s="4"/>
      <c r="K239" s="4"/>
      <c r="L239" s="4"/>
      <c r="M239" s="4"/>
      <c r="N239" s="4"/>
      <c r="O239" s="4"/>
      <c r="P239" s="4"/>
      <c r="Q239" s="20" t="str">
        <f t="shared" si="1"/>
        <v/>
      </c>
      <c r="R239" s="5"/>
      <c r="S239" s="2"/>
    </row>
    <row r="240" spans="1:19" x14ac:dyDescent="0.4">
      <c r="A240" s="17" t="str">
        <f>IF(AND(D240="",D240=""),"",$D$3&amp;"_"&amp;ROW()-11-COUNTBLANK($D$12:D240))</f>
        <v/>
      </c>
      <c r="B240" s="34"/>
      <c r="C240" s="21"/>
      <c r="D240" s="27"/>
      <c r="E240" s="19"/>
      <c r="F240" s="19"/>
      <c r="G240" s="19"/>
      <c r="H240" s="4"/>
      <c r="I240" s="4"/>
      <c r="J240" s="4"/>
      <c r="K240" s="4"/>
      <c r="L240" s="4"/>
      <c r="M240" s="4"/>
      <c r="N240" s="4"/>
      <c r="O240" s="4"/>
      <c r="P240" s="4"/>
      <c r="Q240" s="20" t="str">
        <f t="shared" si="1"/>
        <v/>
      </c>
      <c r="R240" s="5"/>
      <c r="S240" s="2"/>
    </row>
    <row r="241" spans="1:19" x14ac:dyDescent="0.4">
      <c r="A241" s="17" t="str">
        <f>IF(AND(D241="",D241=""),"",$D$3&amp;"_"&amp;ROW()-11-COUNTBLANK($D$12:D241))</f>
        <v/>
      </c>
      <c r="B241" s="34"/>
      <c r="C241" s="21"/>
      <c r="D241" s="27"/>
      <c r="E241" s="19"/>
      <c r="F241" s="19"/>
      <c r="G241" s="19"/>
      <c r="H241" s="4"/>
      <c r="I241" s="4"/>
      <c r="J241" s="4"/>
      <c r="K241" s="4"/>
      <c r="L241" s="4"/>
      <c r="M241" s="4"/>
      <c r="N241" s="4"/>
      <c r="O241" s="4"/>
      <c r="P241" s="4"/>
      <c r="Q241" s="20" t="str">
        <f t="shared" si="1"/>
        <v/>
      </c>
      <c r="R241" s="5"/>
      <c r="S241" s="2"/>
    </row>
    <row r="242" spans="1:19" x14ac:dyDescent="0.4">
      <c r="A242" s="17" t="str">
        <f>IF(AND(D242="",D242=""),"",$D$3&amp;"_"&amp;ROW()-11-COUNTBLANK($D$12:D242))</f>
        <v/>
      </c>
      <c r="B242" s="34"/>
      <c r="C242" s="21"/>
      <c r="D242" s="27"/>
      <c r="E242" s="19"/>
      <c r="F242" s="19"/>
      <c r="G242" s="19"/>
      <c r="H242" s="4"/>
      <c r="I242" s="4"/>
      <c r="J242" s="4"/>
      <c r="K242" s="4"/>
      <c r="L242" s="4"/>
      <c r="M242" s="4"/>
      <c r="N242" s="4"/>
      <c r="O242" s="4"/>
      <c r="P242" s="4"/>
      <c r="Q242" s="20" t="str">
        <f t="shared" si="1"/>
        <v/>
      </c>
      <c r="R242" s="5"/>
      <c r="S242" s="2"/>
    </row>
    <row r="243" spans="1:19" x14ac:dyDescent="0.4">
      <c r="A243" s="17" t="str">
        <f>IF(AND(D243="",D243=""),"",$D$3&amp;"_"&amp;ROW()-11-COUNTBLANK($D$12:D243))</f>
        <v/>
      </c>
      <c r="B243" s="34"/>
      <c r="C243" s="21"/>
      <c r="D243" s="27"/>
      <c r="E243" s="19"/>
      <c r="F243" s="19"/>
      <c r="G243" s="19"/>
      <c r="H243" s="4"/>
      <c r="I243" s="4"/>
      <c r="J243" s="4"/>
      <c r="K243" s="4"/>
      <c r="L243" s="4"/>
      <c r="M243" s="4"/>
      <c r="N243" s="4"/>
      <c r="O243" s="4"/>
      <c r="P243" s="4"/>
      <c r="Q243" s="20" t="str">
        <f t="shared" si="1"/>
        <v/>
      </c>
      <c r="R243" s="5"/>
      <c r="S243" s="2"/>
    </row>
    <row r="244" spans="1:19" x14ac:dyDescent="0.4">
      <c r="A244" s="17" t="str">
        <f>IF(AND(D244="",D244=""),"",$D$3&amp;"_"&amp;ROW()-11-COUNTBLANK($D$12:D244))</f>
        <v/>
      </c>
      <c r="B244" s="34"/>
      <c r="C244" s="21"/>
      <c r="D244" s="27"/>
      <c r="E244" s="19"/>
      <c r="F244" s="19"/>
      <c r="G244" s="19"/>
      <c r="H244" s="4"/>
      <c r="I244" s="4"/>
      <c r="J244" s="4"/>
      <c r="K244" s="4"/>
      <c r="L244" s="4"/>
      <c r="M244" s="4"/>
      <c r="N244" s="4"/>
      <c r="O244" s="4"/>
      <c r="P244" s="4"/>
      <c r="Q244" s="20" t="str">
        <f t="shared" si="1"/>
        <v/>
      </c>
      <c r="R244" s="5"/>
      <c r="S244" s="2"/>
    </row>
    <row r="245" spans="1:19" x14ac:dyDescent="0.4">
      <c r="A245" s="17" t="str">
        <f>IF(AND(D245="",D245=""),"",$D$3&amp;"_"&amp;ROW()-11-COUNTBLANK($D$12:D245))</f>
        <v/>
      </c>
      <c r="B245" s="34"/>
      <c r="C245" s="21"/>
      <c r="D245" s="27"/>
      <c r="E245" s="19"/>
      <c r="F245" s="19"/>
      <c r="G245" s="19"/>
      <c r="H245" s="4"/>
      <c r="I245" s="4"/>
      <c r="J245" s="4"/>
      <c r="K245" s="4"/>
      <c r="L245" s="4"/>
      <c r="M245" s="4"/>
      <c r="N245" s="4"/>
      <c r="O245" s="4"/>
      <c r="P245" s="4"/>
      <c r="Q245" s="20" t="str">
        <f t="shared" si="1"/>
        <v/>
      </c>
      <c r="R245" s="5"/>
      <c r="S245" s="2"/>
    </row>
    <row r="246" spans="1:19" x14ac:dyDescent="0.4">
      <c r="A246" s="17" t="str">
        <f>IF(AND(D246="",D246=""),"",$D$3&amp;"_"&amp;ROW()-11-COUNTBLANK($D$12:D246))</f>
        <v/>
      </c>
      <c r="B246" s="34"/>
      <c r="C246" s="21"/>
      <c r="D246" s="27"/>
      <c r="E246" s="19"/>
      <c r="F246" s="19"/>
      <c r="G246" s="19"/>
      <c r="H246" s="4"/>
      <c r="I246" s="4"/>
      <c r="J246" s="4"/>
      <c r="K246" s="4"/>
      <c r="L246" s="4"/>
      <c r="M246" s="4"/>
      <c r="N246" s="4"/>
      <c r="O246" s="4"/>
      <c r="P246" s="4"/>
      <c r="Q246" s="20" t="str">
        <f t="shared" si="1"/>
        <v/>
      </c>
      <c r="R246" s="5"/>
      <c r="S246" s="2"/>
    </row>
    <row r="247" spans="1:19" x14ac:dyDescent="0.4">
      <c r="A247" s="17" t="str">
        <f>IF(AND(D247="",D247=""),"",$D$3&amp;"_"&amp;ROW()-11-COUNTBLANK($D$12:D247))</f>
        <v/>
      </c>
      <c r="B247" s="34"/>
      <c r="C247" s="21"/>
      <c r="D247" s="27"/>
      <c r="E247" s="19"/>
      <c r="F247" s="19"/>
      <c r="G247" s="19"/>
      <c r="H247" s="4"/>
      <c r="I247" s="4"/>
      <c r="J247" s="4"/>
      <c r="K247" s="4"/>
      <c r="L247" s="4"/>
      <c r="M247" s="4"/>
      <c r="N247" s="4"/>
      <c r="O247" s="4"/>
      <c r="P247" s="4"/>
      <c r="Q247" s="20" t="str">
        <f t="shared" si="1"/>
        <v/>
      </c>
      <c r="R247" s="5"/>
      <c r="S247" s="2"/>
    </row>
    <row r="248" spans="1:19" x14ac:dyDescent="0.4">
      <c r="A248" s="17" t="str">
        <f>IF(AND(D248="",D248=""),"",$D$3&amp;"_"&amp;ROW()-11-COUNTBLANK($D$12:D248))</f>
        <v/>
      </c>
      <c r="B248" s="34"/>
      <c r="C248" s="21"/>
      <c r="D248" s="27"/>
      <c r="E248" s="19"/>
      <c r="F248" s="19"/>
      <c r="G248" s="19"/>
      <c r="H248" s="4"/>
      <c r="I248" s="4"/>
      <c r="J248" s="4"/>
      <c r="K248" s="4"/>
      <c r="L248" s="4"/>
      <c r="M248" s="4"/>
      <c r="N248" s="4"/>
      <c r="O248" s="4"/>
      <c r="P248" s="4"/>
      <c r="Q248" s="20" t="str">
        <f t="shared" si="1"/>
        <v/>
      </c>
      <c r="R248" s="5"/>
      <c r="S248" s="2"/>
    </row>
    <row r="249" spans="1:19" x14ac:dyDescent="0.4">
      <c r="A249" s="17" t="str">
        <f>IF(AND(D249="",D249=""),"",$D$3&amp;"_"&amp;ROW()-11-COUNTBLANK($D$12:D249))</f>
        <v/>
      </c>
      <c r="B249" s="34"/>
      <c r="C249" s="21"/>
      <c r="D249" s="27"/>
      <c r="E249" s="19"/>
      <c r="F249" s="19"/>
      <c r="G249" s="19"/>
      <c r="H249" s="4"/>
      <c r="I249" s="4"/>
      <c r="J249" s="4"/>
      <c r="K249" s="4"/>
      <c r="L249" s="4"/>
      <c r="M249" s="4"/>
      <c r="N249" s="4"/>
      <c r="O249" s="4"/>
      <c r="P249" s="4"/>
      <c r="Q249" s="20" t="str">
        <f t="shared" si="1"/>
        <v/>
      </c>
      <c r="R249" s="5"/>
      <c r="S249" s="2"/>
    </row>
    <row r="250" spans="1:19" x14ac:dyDescent="0.4">
      <c r="A250" s="17" t="str">
        <f>IF(AND(D250="",D250=""),"",$D$3&amp;"_"&amp;ROW()-11-COUNTBLANK($D$12:D250))</f>
        <v/>
      </c>
      <c r="B250" s="26"/>
      <c r="C250" s="27"/>
      <c r="D250" s="27"/>
      <c r="E250" s="19"/>
      <c r="F250" s="19"/>
      <c r="G250" s="19"/>
      <c r="H250" s="4"/>
      <c r="I250" s="4"/>
      <c r="J250" s="4"/>
      <c r="K250" s="4"/>
      <c r="L250" s="4"/>
      <c r="M250" s="4"/>
      <c r="N250" s="4"/>
      <c r="O250" s="4"/>
      <c r="P250" s="4"/>
      <c r="Q250" s="20" t="str">
        <f t="shared" si="1"/>
        <v/>
      </c>
      <c r="R250" s="5"/>
      <c r="S250" s="2"/>
    </row>
    <row r="251" spans="1:19" x14ac:dyDescent="0.4">
      <c r="A251" s="17" t="str">
        <f>IF(AND(D251="",D251=""),"",$D$3&amp;"_"&amp;ROW()-11-COUNTBLANK($D$12:D251))</f>
        <v/>
      </c>
      <c r="B251" s="26"/>
      <c r="C251" s="27"/>
      <c r="D251" s="27"/>
      <c r="E251" s="19"/>
      <c r="F251" s="19"/>
      <c r="G251" s="19"/>
      <c r="H251" s="4"/>
      <c r="I251" s="4"/>
      <c r="J251" s="4"/>
      <c r="K251" s="4"/>
      <c r="L251" s="4"/>
      <c r="M251" s="4"/>
      <c r="N251" s="4"/>
      <c r="O251" s="4"/>
      <c r="P251" s="4"/>
      <c r="Q251" s="20" t="str">
        <f t="shared" si="1"/>
        <v/>
      </c>
      <c r="R251" s="39"/>
      <c r="S251" s="2"/>
    </row>
    <row r="252" spans="1:19" x14ac:dyDescent="0.4">
      <c r="A252" s="17" t="str">
        <f>IF(AND(D252="",D252=""),"",$D$3&amp;"_"&amp;ROW()-11-COUNTBLANK($D$12:D252))</f>
        <v/>
      </c>
      <c r="B252" s="26"/>
      <c r="C252" s="27"/>
      <c r="D252" s="41"/>
      <c r="E252" s="19"/>
      <c r="F252" s="19"/>
      <c r="G252" s="19"/>
      <c r="H252" s="4"/>
      <c r="I252" s="4"/>
      <c r="J252" s="4"/>
      <c r="K252" s="4"/>
      <c r="L252" s="4"/>
      <c r="M252" s="4"/>
      <c r="N252" s="4"/>
      <c r="O252" s="4"/>
      <c r="P252" s="4"/>
      <c r="Q252" s="20" t="str">
        <f t="shared" si="1"/>
        <v/>
      </c>
      <c r="R252" s="39"/>
      <c r="S252" s="2"/>
    </row>
    <row r="253" spans="1:19" x14ac:dyDescent="0.4">
      <c r="A253" s="17" t="str">
        <f>IF(AND(D253="",D253=""),"",$D$3&amp;"_"&amp;ROW()-11-COUNTBLANK($D$12:D253))</f>
        <v/>
      </c>
      <c r="B253" s="26"/>
      <c r="C253" s="27"/>
      <c r="D253" s="27"/>
      <c r="E253" s="19"/>
      <c r="F253" s="19"/>
      <c r="G253" s="19"/>
      <c r="H253" s="4"/>
      <c r="I253" s="4"/>
      <c r="J253" s="4"/>
      <c r="K253" s="4"/>
      <c r="L253" s="4"/>
      <c r="M253" s="4"/>
      <c r="N253" s="4"/>
      <c r="O253" s="4"/>
      <c r="P253" s="4"/>
      <c r="Q253" s="20" t="str">
        <f t="shared" si="1"/>
        <v/>
      </c>
      <c r="R253" s="39"/>
      <c r="S253" s="2"/>
    </row>
    <row r="254" spans="1:19" x14ac:dyDescent="0.4">
      <c r="A254" s="17" t="str">
        <f>IF(AND(D254="",D254=""),"",$D$3&amp;"_"&amp;ROW()-11-COUNTBLANK($D$12:D254))</f>
        <v/>
      </c>
      <c r="B254" s="34"/>
      <c r="C254" s="21"/>
      <c r="D254" s="27"/>
      <c r="E254" s="19"/>
      <c r="F254" s="19"/>
      <c r="G254" s="19"/>
      <c r="H254" s="4"/>
      <c r="I254" s="4"/>
      <c r="J254" s="4"/>
      <c r="K254" s="4"/>
      <c r="L254" s="4"/>
      <c r="M254" s="4"/>
      <c r="N254" s="4"/>
      <c r="O254" s="4"/>
      <c r="P254" s="4"/>
      <c r="Q254" s="20" t="str">
        <f t="shared" si="1"/>
        <v/>
      </c>
      <c r="R254" s="5"/>
      <c r="S254" s="2"/>
    </row>
    <row r="255" spans="1:19" x14ac:dyDescent="0.4">
      <c r="A255" s="17" t="str">
        <f>IF(AND(D255="",D255=""),"",$D$3&amp;"_"&amp;ROW()-11-COUNTBLANK($D$12:D255))</f>
        <v/>
      </c>
      <c r="B255" s="34"/>
      <c r="C255" s="21"/>
      <c r="D255" s="27"/>
      <c r="E255" s="19"/>
      <c r="F255" s="19"/>
      <c r="G255" s="19"/>
      <c r="H255" s="4"/>
      <c r="I255" s="4"/>
      <c r="J255" s="4"/>
      <c r="K255" s="4"/>
      <c r="L255" s="4"/>
      <c r="M255" s="4"/>
      <c r="N255" s="4"/>
      <c r="O255" s="4"/>
      <c r="P255" s="4"/>
      <c r="Q255" s="20" t="str">
        <f t="shared" si="1"/>
        <v/>
      </c>
      <c r="R255" s="5"/>
      <c r="S255" s="2"/>
    </row>
    <row r="256" spans="1:19" x14ac:dyDescent="0.4">
      <c r="A256" s="17" t="str">
        <f>IF(AND(D256="",D256=""),"",$D$3&amp;"_"&amp;ROW()-11-COUNTBLANK($D$12:D256))</f>
        <v/>
      </c>
      <c r="B256" s="34"/>
      <c r="C256" s="21"/>
      <c r="D256" s="27"/>
      <c r="E256" s="19"/>
      <c r="F256" s="19"/>
      <c r="G256" s="19"/>
      <c r="H256" s="4"/>
      <c r="I256" s="4"/>
      <c r="J256" s="4"/>
      <c r="K256" s="4"/>
      <c r="L256" s="4"/>
      <c r="M256" s="4"/>
      <c r="N256" s="4"/>
      <c r="O256" s="4"/>
      <c r="P256" s="4"/>
      <c r="Q256" s="20" t="str">
        <f t="shared" si="1"/>
        <v/>
      </c>
      <c r="R256" s="5"/>
      <c r="S256" s="2"/>
    </row>
    <row r="257" spans="1:19" x14ac:dyDescent="0.4">
      <c r="A257" s="17" t="str">
        <f>IF(AND(D257="",D257=""),"",$D$3&amp;"_"&amp;ROW()-11-COUNTBLANK($D$12:D257))</f>
        <v/>
      </c>
      <c r="B257" s="34"/>
      <c r="C257" s="21"/>
      <c r="D257" s="27"/>
      <c r="E257" s="19"/>
      <c r="F257" s="19"/>
      <c r="G257" s="19"/>
      <c r="H257" s="4"/>
      <c r="I257" s="4"/>
      <c r="J257" s="4"/>
      <c r="K257" s="4"/>
      <c r="L257" s="4"/>
      <c r="M257" s="4"/>
      <c r="N257" s="4"/>
      <c r="O257" s="4"/>
      <c r="P257" s="4"/>
      <c r="Q257" s="20" t="str">
        <f t="shared" si="1"/>
        <v/>
      </c>
      <c r="R257" s="5"/>
      <c r="S257" s="2"/>
    </row>
    <row r="258" spans="1:19" x14ac:dyDescent="0.4">
      <c r="A258" s="17" t="str">
        <f>IF(AND(D258="",D258=""),"",$D$3&amp;"_"&amp;ROW()-11-COUNTBLANK($D$12:D258))</f>
        <v/>
      </c>
      <c r="B258" s="34"/>
      <c r="C258" s="21"/>
      <c r="D258" s="27"/>
      <c r="E258" s="19"/>
      <c r="F258" s="19"/>
      <c r="G258" s="19"/>
      <c r="H258" s="4"/>
      <c r="I258" s="4"/>
      <c r="J258" s="4"/>
      <c r="K258" s="4"/>
      <c r="L258" s="4"/>
      <c r="M258" s="4"/>
      <c r="N258" s="4"/>
      <c r="O258" s="4"/>
      <c r="P258" s="4"/>
      <c r="Q258" s="20" t="str">
        <f t="shared" si="1"/>
        <v/>
      </c>
      <c r="R258" s="5"/>
      <c r="S258" s="2"/>
    </row>
    <row r="259" spans="1:19" x14ac:dyDescent="0.4">
      <c r="A259" s="17" t="str">
        <f>IF(AND(D259="",D259=""),"",$D$3&amp;"_"&amp;ROW()-11-COUNTBLANK($D$12:D259))</f>
        <v/>
      </c>
      <c r="B259" s="34"/>
      <c r="C259" s="21"/>
      <c r="D259" s="27"/>
      <c r="E259" s="19"/>
      <c r="F259" s="19"/>
      <c r="G259" s="19"/>
      <c r="H259" s="4"/>
      <c r="I259" s="4"/>
      <c r="J259" s="4"/>
      <c r="K259" s="4"/>
      <c r="L259" s="4"/>
      <c r="M259" s="4"/>
      <c r="N259" s="4"/>
      <c r="O259" s="4"/>
      <c r="P259" s="4"/>
      <c r="Q259" s="20" t="str">
        <f t="shared" si="1"/>
        <v/>
      </c>
      <c r="R259" s="5"/>
      <c r="S259" s="2"/>
    </row>
    <row r="260" spans="1:19" x14ac:dyDescent="0.4">
      <c r="A260" s="17" t="str">
        <f>IF(AND(D260="",D260=""),"",$D$3&amp;"_"&amp;ROW()-11-COUNTBLANK($D$12:D260))</f>
        <v/>
      </c>
      <c r="B260" s="34"/>
      <c r="C260" s="21"/>
      <c r="D260" s="27"/>
      <c r="E260" s="19"/>
      <c r="F260" s="19"/>
      <c r="G260" s="19"/>
      <c r="H260" s="4"/>
      <c r="I260" s="4"/>
      <c r="J260" s="4"/>
      <c r="K260" s="4"/>
      <c r="L260" s="4"/>
      <c r="M260" s="4"/>
      <c r="N260" s="4"/>
      <c r="O260" s="4"/>
      <c r="P260" s="4"/>
      <c r="Q260" s="20" t="str">
        <f t="shared" si="1"/>
        <v/>
      </c>
      <c r="R260" s="5"/>
      <c r="S260" s="2"/>
    </row>
    <row r="261" spans="1:19" x14ac:dyDescent="0.4">
      <c r="A261" s="17" t="str">
        <f>IF(AND(D261="",D261=""),"",$D$3&amp;"_"&amp;ROW()-11-COUNTBLANK($D$12:D261))</f>
        <v/>
      </c>
      <c r="B261" s="34"/>
      <c r="C261" s="21"/>
      <c r="D261" s="27"/>
      <c r="E261" s="19"/>
      <c r="F261" s="19"/>
      <c r="G261" s="19"/>
      <c r="H261" s="4"/>
      <c r="I261" s="4"/>
      <c r="J261" s="4"/>
      <c r="K261" s="4"/>
      <c r="L261" s="4"/>
      <c r="M261" s="4"/>
      <c r="N261" s="4"/>
      <c r="O261" s="4"/>
      <c r="P261" s="4"/>
      <c r="Q261" s="20" t="str">
        <f t="shared" ref="Q261:Q272" si="2">IF(OR(IF(G261="",IF(F261="",IF(E261="","",E261),F261),G261)="F",IF(J261="",IF(I261="",IF(H261="","",H261),I261),J261)="F",IF(M261="",IF(L261="",IF(K261="","",K261),L261),M261)="F",IF(P261="",IF(O261="",IF(N261="","",N261),O261),P261)="F")=TRUE,"F",IF(OR(IF(G261="",IF(F261="",IF(E261="","",E261),F261),G261)="PE",IF(J261="",IF(I261="",IF(H261="","",H261),I261),J261)="PE",IF(M261="",IF(L261="",IF(K261="","",K261),L261),M261)="PE",IF(P261="",IF(O261="",IF(N261="","",N261),O261),P261)="PE")=TRUE,"PE",IF(AND(IF(G261="",IF(F261="",IF(E261="","",E261),F261),G261)="",IF(J261="",IF(I261="",IF(H261="","",H261),I261),J261)="",IF(M261="",IF(L261="",IF(K261="","",K261),L261),M261)="",IF(P261="",IF(O261="",IF(N261="","",N261),O261),P261)="")=TRUE,"","P")))</f>
        <v/>
      </c>
      <c r="R261" s="5"/>
      <c r="S261" s="2"/>
    </row>
    <row r="262" spans="1:19" x14ac:dyDescent="0.4">
      <c r="A262" s="17" t="str">
        <f>IF(AND(D262="",D262=""),"",$D$3&amp;"_"&amp;ROW()-11-COUNTBLANK($D$12:D262))</f>
        <v/>
      </c>
      <c r="B262" s="34"/>
      <c r="C262" s="21"/>
      <c r="D262" s="27"/>
      <c r="E262" s="19"/>
      <c r="F262" s="19"/>
      <c r="G262" s="19"/>
      <c r="H262" s="4"/>
      <c r="I262" s="4"/>
      <c r="J262" s="4"/>
      <c r="K262" s="4"/>
      <c r="L262" s="4"/>
      <c r="M262" s="4"/>
      <c r="N262" s="4"/>
      <c r="O262" s="4"/>
      <c r="P262" s="4"/>
      <c r="Q262" s="20" t="str">
        <f t="shared" si="2"/>
        <v/>
      </c>
      <c r="R262" s="5"/>
      <c r="S262" s="2"/>
    </row>
    <row r="263" spans="1:19" x14ac:dyDescent="0.4">
      <c r="A263" s="17" t="str">
        <f>IF(AND(D263="",D263=""),"",$D$3&amp;"_"&amp;ROW()-11-COUNTBLANK($D$12:D263))</f>
        <v/>
      </c>
      <c r="B263" s="34"/>
      <c r="C263" s="21"/>
      <c r="D263" s="27"/>
      <c r="E263" s="19"/>
      <c r="F263" s="19"/>
      <c r="G263" s="19"/>
      <c r="H263" s="4"/>
      <c r="I263" s="4"/>
      <c r="J263" s="4"/>
      <c r="K263" s="4"/>
      <c r="L263" s="4"/>
      <c r="M263" s="4"/>
      <c r="N263" s="4"/>
      <c r="O263" s="4"/>
      <c r="P263" s="4"/>
      <c r="Q263" s="20" t="str">
        <f t="shared" si="2"/>
        <v/>
      </c>
      <c r="R263" s="5"/>
      <c r="S263" s="2"/>
    </row>
    <row r="264" spans="1:19" x14ac:dyDescent="0.4">
      <c r="A264" s="17" t="str">
        <f>IF(AND(D264="",D264=""),"",$D$3&amp;"_"&amp;ROW()-11-COUNTBLANK($D$12:D264))</f>
        <v/>
      </c>
      <c r="B264" s="34"/>
      <c r="C264" s="21"/>
      <c r="D264" s="27"/>
      <c r="E264" s="19"/>
      <c r="F264" s="19"/>
      <c r="G264" s="19"/>
      <c r="H264" s="4"/>
      <c r="I264" s="4"/>
      <c r="J264" s="4"/>
      <c r="K264" s="4"/>
      <c r="L264" s="4"/>
      <c r="M264" s="4"/>
      <c r="N264" s="4"/>
      <c r="O264" s="4"/>
      <c r="P264" s="4"/>
      <c r="Q264" s="20" t="str">
        <f t="shared" si="2"/>
        <v/>
      </c>
      <c r="R264" s="5"/>
      <c r="S264" s="2"/>
    </row>
    <row r="265" spans="1:19" x14ac:dyDescent="0.4">
      <c r="A265" s="17" t="str">
        <f>IF(AND(D265="",D265=""),"",$D$3&amp;"_"&amp;ROW()-11-COUNTBLANK($D$12:D265))</f>
        <v/>
      </c>
      <c r="B265" s="34"/>
      <c r="C265" s="21"/>
      <c r="D265" s="27"/>
      <c r="E265" s="19"/>
      <c r="F265" s="19"/>
      <c r="G265" s="19"/>
      <c r="H265" s="4"/>
      <c r="I265" s="4"/>
      <c r="J265" s="4"/>
      <c r="K265" s="4"/>
      <c r="L265" s="4"/>
      <c r="M265" s="4"/>
      <c r="N265" s="4"/>
      <c r="O265" s="4"/>
      <c r="P265" s="4"/>
      <c r="Q265" s="20" t="str">
        <f t="shared" si="2"/>
        <v/>
      </c>
      <c r="R265" s="5"/>
      <c r="S265" s="2"/>
    </row>
    <row r="266" spans="1:19" x14ac:dyDescent="0.4">
      <c r="A266" s="17" t="str">
        <f>IF(AND(D266="",D266=""),"",$D$3&amp;"_"&amp;ROW()-11-COUNTBLANK($D$12:D266))</f>
        <v/>
      </c>
      <c r="B266" s="34"/>
      <c r="C266" s="21"/>
      <c r="D266" s="27"/>
      <c r="E266" s="19"/>
      <c r="F266" s="19"/>
      <c r="G266" s="19"/>
      <c r="H266" s="4"/>
      <c r="I266" s="4"/>
      <c r="J266" s="4"/>
      <c r="K266" s="4"/>
      <c r="L266" s="4"/>
      <c r="M266" s="4"/>
      <c r="N266" s="4"/>
      <c r="O266" s="4"/>
      <c r="P266" s="4"/>
      <c r="Q266" s="20" t="str">
        <f t="shared" si="2"/>
        <v/>
      </c>
      <c r="R266" s="5"/>
      <c r="S266" s="2"/>
    </row>
    <row r="267" spans="1:19" x14ac:dyDescent="0.4">
      <c r="A267" s="17" t="str">
        <f>IF(AND(D267="",D267=""),"",$D$3&amp;"_"&amp;ROW()-11-COUNTBLANK($D$12:D267))</f>
        <v/>
      </c>
      <c r="B267" s="34"/>
      <c r="C267" s="21"/>
      <c r="D267" s="27"/>
      <c r="E267" s="19"/>
      <c r="F267" s="19"/>
      <c r="G267" s="19"/>
      <c r="H267" s="4"/>
      <c r="I267" s="4"/>
      <c r="J267" s="4"/>
      <c r="K267" s="4"/>
      <c r="L267" s="4"/>
      <c r="M267" s="4"/>
      <c r="N267" s="4"/>
      <c r="O267" s="4"/>
      <c r="P267" s="4"/>
      <c r="Q267" s="20" t="str">
        <f t="shared" si="2"/>
        <v/>
      </c>
      <c r="R267" s="5"/>
      <c r="S267" s="2"/>
    </row>
    <row r="268" spans="1:19" x14ac:dyDescent="0.4">
      <c r="A268" s="17" t="str">
        <f>IF(AND(D268="",D268=""),"",$D$3&amp;"_"&amp;ROW()-11-COUNTBLANK($D$12:D268))</f>
        <v/>
      </c>
      <c r="B268" s="34"/>
      <c r="C268" s="21"/>
      <c r="D268" s="27"/>
      <c r="E268" s="19"/>
      <c r="F268" s="19"/>
      <c r="G268" s="19"/>
      <c r="H268" s="4"/>
      <c r="I268" s="4"/>
      <c r="J268" s="4"/>
      <c r="K268" s="4"/>
      <c r="L268" s="4"/>
      <c r="M268" s="4"/>
      <c r="N268" s="4"/>
      <c r="O268" s="4"/>
      <c r="P268" s="4"/>
      <c r="Q268" s="20" t="str">
        <f t="shared" si="2"/>
        <v/>
      </c>
      <c r="R268" s="5"/>
      <c r="S268" s="2"/>
    </row>
    <row r="269" spans="1:19" x14ac:dyDescent="0.4">
      <c r="A269" s="17" t="str">
        <f>IF(AND(D269="",D269=""),"",$D$3&amp;"_"&amp;ROW()-11-COUNTBLANK($D$12:D269))</f>
        <v/>
      </c>
      <c r="B269" s="26"/>
      <c r="C269" s="27"/>
      <c r="D269" s="27"/>
      <c r="E269" s="19"/>
      <c r="F269" s="19"/>
      <c r="G269" s="19"/>
      <c r="H269" s="4"/>
      <c r="I269" s="4"/>
      <c r="J269" s="4"/>
      <c r="K269" s="4"/>
      <c r="L269" s="4"/>
      <c r="M269" s="4"/>
      <c r="N269" s="4"/>
      <c r="O269" s="4"/>
      <c r="P269" s="4"/>
      <c r="Q269" s="20" t="str">
        <f t="shared" si="2"/>
        <v/>
      </c>
      <c r="R269" s="5"/>
      <c r="S269" s="2"/>
    </row>
    <row r="270" spans="1:19" x14ac:dyDescent="0.4">
      <c r="A270" s="17" t="str">
        <f>IF(AND(D270="",D270=""),"",$D$3&amp;"_"&amp;ROW()-11-COUNTBLANK($D$12:D270))</f>
        <v/>
      </c>
      <c r="B270" s="26"/>
      <c r="C270" s="27"/>
      <c r="D270" s="27"/>
      <c r="E270" s="19"/>
      <c r="F270" s="19"/>
      <c r="G270" s="19"/>
      <c r="H270" s="4"/>
      <c r="I270" s="4"/>
      <c r="J270" s="4"/>
      <c r="K270" s="4"/>
      <c r="L270" s="4"/>
      <c r="M270" s="4"/>
      <c r="N270" s="4"/>
      <c r="O270" s="4"/>
      <c r="P270" s="4"/>
      <c r="Q270" s="20" t="str">
        <f t="shared" si="2"/>
        <v/>
      </c>
      <c r="R270" s="39"/>
      <c r="S270" s="2"/>
    </row>
    <row r="271" spans="1:19" x14ac:dyDescent="0.4">
      <c r="A271" s="17" t="str">
        <f>IF(AND(D271="",D271=""),"",$D$3&amp;"_"&amp;ROW()-11-COUNTBLANK($D$12:D271))</f>
        <v/>
      </c>
      <c r="B271" s="26"/>
      <c r="C271" s="27"/>
      <c r="D271" s="41"/>
      <c r="E271" s="19"/>
      <c r="F271" s="19"/>
      <c r="G271" s="19"/>
      <c r="H271" s="4"/>
      <c r="I271" s="4"/>
      <c r="J271" s="4"/>
      <c r="K271" s="4"/>
      <c r="L271" s="4"/>
      <c r="M271" s="4"/>
      <c r="N271" s="4"/>
      <c r="O271" s="4"/>
      <c r="P271" s="4"/>
      <c r="Q271" s="20" t="str">
        <f t="shared" si="2"/>
        <v/>
      </c>
      <c r="R271" s="39"/>
      <c r="S271" s="2"/>
    </row>
    <row r="272" spans="1:19" x14ac:dyDescent="0.4">
      <c r="A272" s="17" t="str">
        <f>IF(AND(D272="",D272=""),"",$D$3&amp;"_"&amp;ROW()-11-COUNTBLANK($D$12:D272))</f>
        <v/>
      </c>
      <c r="B272" s="26"/>
      <c r="C272" s="27"/>
      <c r="D272" s="27"/>
      <c r="E272" s="19"/>
      <c r="F272" s="19"/>
      <c r="G272" s="19"/>
      <c r="H272" s="4"/>
      <c r="I272" s="4"/>
      <c r="J272" s="4"/>
      <c r="K272" s="4"/>
      <c r="L272" s="4"/>
      <c r="M272" s="4"/>
      <c r="N272" s="4"/>
      <c r="O272" s="4"/>
      <c r="P272" s="4"/>
      <c r="Q272" s="20" t="str">
        <f t="shared" si="2"/>
        <v/>
      </c>
      <c r="R272" s="39"/>
      <c r="S272" s="2"/>
    </row>
  </sheetData>
  <mergeCells count="56">
    <mergeCell ref="B195:B196"/>
    <mergeCell ref="B197:D197"/>
    <mergeCell ref="B172:D172"/>
    <mergeCell ref="B177:B179"/>
    <mergeCell ref="B180:B182"/>
    <mergeCell ref="B183:B185"/>
    <mergeCell ref="B186:B189"/>
    <mergeCell ref="B191:B194"/>
    <mergeCell ref="B151:B155"/>
    <mergeCell ref="B157:D157"/>
    <mergeCell ref="B159:B160"/>
    <mergeCell ref="B161:B163"/>
    <mergeCell ref="B168:D168"/>
    <mergeCell ref="B171:D171"/>
    <mergeCell ref="B127:B131"/>
    <mergeCell ref="B132:D132"/>
    <mergeCell ref="B135:B139"/>
    <mergeCell ref="B140:D140"/>
    <mergeCell ref="B143:B147"/>
    <mergeCell ref="B148:D148"/>
    <mergeCell ref="B100:B104"/>
    <mergeCell ref="B105:D105"/>
    <mergeCell ref="B112:D112"/>
    <mergeCell ref="B113:B116"/>
    <mergeCell ref="B117:B119"/>
    <mergeCell ref="B124:D124"/>
    <mergeCell ref="B71:B75"/>
    <mergeCell ref="B78:B82"/>
    <mergeCell ref="B86:D86"/>
    <mergeCell ref="B89:B91"/>
    <mergeCell ref="B92:B95"/>
    <mergeCell ref="B97:D97"/>
    <mergeCell ref="B41:B45"/>
    <mergeCell ref="B46:B50"/>
    <mergeCell ref="B52:D52"/>
    <mergeCell ref="B55:B59"/>
    <mergeCell ref="B61:B65"/>
    <mergeCell ref="B68:D68"/>
    <mergeCell ref="B12:D12"/>
    <mergeCell ref="B13:D13"/>
    <mergeCell ref="B20:D20"/>
    <mergeCell ref="B28:D28"/>
    <mergeCell ref="B30:B31"/>
    <mergeCell ref="B38:D38"/>
    <mergeCell ref="H10:J10"/>
    <mergeCell ref="K10:M10"/>
    <mergeCell ref="N10:P10"/>
    <mergeCell ref="Q10:Q11"/>
    <mergeCell ref="R10:R11"/>
    <mergeCell ref="S10:S11"/>
    <mergeCell ref="C1:D1"/>
    <mergeCell ref="A10:A11"/>
    <mergeCell ref="B10:B11"/>
    <mergeCell ref="C10:C11"/>
    <mergeCell ref="D10:D11"/>
    <mergeCell ref="E10:G10"/>
  </mergeCells>
  <conditionalFormatting sqref="E1:Q272">
    <cfRule type="cellIs" priority="1" stopIfTrue="1" operator="equal">
      <formula>"P"</formula>
    </cfRule>
    <cfRule type="cellIs" dxfId="3" priority="2" stopIfTrue="1" operator="equal">
      <formula>"F"</formula>
    </cfRule>
    <cfRule type="cellIs" dxfId="2" priority="3" stopIfTrue="1" operator="equal">
      <formula>"PE"</formula>
    </cfRule>
  </conditionalFormatting>
  <dataValidations count="1">
    <dataValidation type="list" allowBlank="1" showInputMessage="1" showErrorMessage="1" sqref="E1:P9 E12:P272" xr:uid="{6197953C-F68F-4CEF-85A8-17AEDAAE8691}">
      <formula1>"P,F,PE"</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EC42-6A86-431B-836D-24E9100F840C}">
  <dimension ref="E6:G25"/>
  <sheetViews>
    <sheetView zoomScale="59" workbookViewId="0">
      <selection activeCell="E3" sqref="E3"/>
    </sheetView>
  </sheetViews>
  <sheetFormatPr defaultColWidth="8.90625" defaultRowHeight="19.5" x14ac:dyDescent="0.45"/>
  <cols>
    <col min="1" max="4" width="8.90625" style="45"/>
    <col min="5" max="5" width="38" style="45" customWidth="1"/>
    <col min="6" max="6" width="58.81640625" style="45" customWidth="1"/>
    <col min="7" max="7" width="42.08984375" style="45" customWidth="1"/>
    <col min="8" max="16384" width="8.90625" style="45"/>
  </cols>
  <sheetData>
    <row r="6" spans="5:6" x14ac:dyDescent="0.45">
      <c r="E6" s="45" t="s">
        <v>134</v>
      </c>
      <c r="F6" s="45" t="s">
        <v>135</v>
      </c>
    </row>
    <row r="7" spans="5:6" x14ac:dyDescent="0.45">
      <c r="F7" s="45" t="s">
        <v>136</v>
      </c>
    </row>
    <row r="8" spans="5:6" x14ac:dyDescent="0.45">
      <c r="F8" s="45" t="s">
        <v>137</v>
      </c>
    </row>
    <row r="13" spans="5:6" x14ac:dyDescent="0.45">
      <c r="E13" s="45" t="s">
        <v>138</v>
      </c>
      <c r="F13" s="45" t="s">
        <v>139</v>
      </c>
    </row>
    <row r="14" spans="5:6" x14ac:dyDescent="0.45">
      <c r="F14" s="45" t="s">
        <v>140</v>
      </c>
    </row>
    <row r="15" spans="5:6" ht="58.5" x14ac:dyDescent="0.45">
      <c r="F15" s="46" t="s">
        <v>141</v>
      </c>
    </row>
    <row r="16" spans="5:6" ht="58.5" x14ac:dyDescent="0.45">
      <c r="F16" s="46" t="s">
        <v>142</v>
      </c>
    </row>
    <row r="17" spans="6:7" ht="78" x14ac:dyDescent="0.45">
      <c r="F17" s="46" t="s">
        <v>143</v>
      </c>
    </row>
    <row r="18" spans="6:7" ht="78" x14ac:dyDescent="0.45">
      <c r="F18" s="46" t="s">
        <v>144</v>
      </c>
    </row>
    <row r="19" spans="6:7" ht="78" x14ac:dyDescent="0.45">
      <c r="F19" s="46" t="s">
        <v>145</v>
      </c>
    </row>
    <row r="20" spans="6:7" ht="78" x14ac:dyDescent="0.45">
      <c r="F20" s="46" t="s">
        <v>146</v>
      </c>
      <c r="G20" s="47" t="s">
        <v>147</v>
      </c>
    </row>
    <row r="21" spans="6:7" ht="78" x14ac:dyDescent="0.45">
      <c r="F21" s="46" t="s">
        <v>146</v>
      </c>
    </row>
    <row r="22" spans="6:7" ht="78" x14ac:dyDescent="0.45">
      <c r="F22" s="46" t="s">
        <v>148</v>
      </c>
      <c r="G22" s="47" t="s">
        <v>149</v>
      </c>
    </row>
    <row r="23" spans="6:7" ht="58.5" x14ac:dyDescent="0.45">
      <c r="F23" s="46" t="s">
        <v>150</v>
      </c>
    </row>
    <row r="24" spans="6:7" ht="58.5" x14ac:dyDescent="0.45">
      <c r="F24" s="46" t="s">
        <v>151</v>
      </c>
    </row>
    <row r="25" spans="6:7" x14ac:dyDescent="0.45">
      <c r="F25" s="45" t="s">
        <v>152</v>
      </c>
      <c r="G25" s="45"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4023-08A0-434E-9435-81BF671ED010}">
  <dimension ref="A2:I59"/>
  <sheetViews>
    <sheetView zoomScale="52" zoomScaleNormal="90" workbookViewId="0">
      <selection activeCell="B5" sqref="B5"/>
    </sheetView>
  </sheetViews>
  <sheetFormatPr defaultColWidth="8.90625" defaultRowHeight="19" x14ac:dyDescent="0.35"/>
  <cols>
    <col min="1" max="1" width="10.90625" style="75" customWidth="1"/>
    <col min="2" max="2" width="41" style="75" customWidth="1"/>
    <col min="3" max="3" width="49.36328125" style="75" customWidth="1"/>
    <col min="4" max="4" width="54" style="75" customWidth="1"/>
    <col min="5" max="5" width="7.90625" style="75" customWidth="1"/>
    <col min="6" max="6" width="8.453125" style="75" customWidth="1"/>
    <col min="7" max="7" width="7.90625" style="75" customWidth="1"/>
    <col min="8" max="8" width="10.453125" style="75" customWidth="1"/>
    <col min="9" max="9" width="40" style="75" customWidth="1"/>
    <col min="10" max="16384" width="8.90625" style="75"/>
  </cols>
  <sheetData>
    <row r="2" spans="1:9" ht="16.5" customHeight="1" x14ac:dyDescent="0.35">
      <c r="A2" s="70" t="s">
        <v>187</v>
      </c>
      <c r="B2" s="70" t="s">
        <v>10</v>
      </c>
      <c r="C2" s="70" t="s">
        <v>11</v>
      </c>
      <c r="D2" s="70" t="s">
        <v>12</v>
      </c>
      <c r="E2" s="71" t="s">
        <v>188</v>
      </c>
      <c r="F2" s="72"/>
      <c r="G2" s="73"/>
      <c r="H2" s="70" t="s">
        <v>18</v>
      </c>
      <c r="I2" s="74" t="s">
        <v>19</v>
      </c>
    </row>
    <row r="3" spans="1:9" x14ac:dyDescent="0.35">
      <c r="A3" s="70"/>
      <c r="B3" s="70"/>
      <c r="C3" s="70"/>
      <c r="D3" s="70"/>
      <c r="E3" s="76" t="s">
        <v>20</v>
      </c>
      <c r="F3" s="76" t="s">
        <v>21</v>
      </c>
      <c r="G3" s="76" t="s">
        <v>22</v>
      </c>
      <c r="H3" s="70"/>
      <c r="I3" s="77"/>
    </row>
    <row r="4" spans="1:9" ht="33.75" customHeight="1" x14ac:dyDescent="0.35">
      <c r="A4" s="78" t="s">
        <v>70</v>
      </c>
      <c r="B4" s="79"/>
      <c r="C4" s="79"/>
      <c r="D4" s="79"/>
      <c r="E4" s="79"/>
      <c r="F4" s="79"/>
      <c r="G4" s="79"/>
      <c r="H4" s="79"/>
      <c r="I4" s="80"/>
    </row>
    <row r="5" spans="1:9" ht="36.75" customHeight="1" x14ac:dyDescent="0.35">
      <c r="A5" s="81" t="s">
        <v>189</v>
      </c>
      <c r="B5" s="81" t="s">
        <v>190</v>
      </c>
      <c r="C5" s="81" t="s">
        <v>191</v>
      </c>
      <c r="D5" s="81" t="s">
        <v>192</v>
      </c>
      <c r="E5" s="81"/>
      <c r="F5" s="81"/>
      <c r="G5" s="81"/>
      <c r="H5" s="82"/>
      <c r="I5" s="81"/>
    </row>
    <row r="6" spans="1:9" ht="304" x14ac:dyDescent="0.35">
      <c r="A6" s="81" t="s">
        <v>193</v>
      </c>
      <c r="B6" s="83" t="s">
        <v>194</v>
      </c>
      <c r="C6" s="81" t="s">
        <v>195</v>
      </c>
      <c r="D6" s="84" t="s">
        <v>196</v>
      </c>
      <c r="E6" s="84"/>
      <c r="F6" s="84"/>
      <c r="G6" s="84"/>
      <c r="H6" s="82"/>
      <c r="I6" s="81"/>
    </row>
    <row r="7" spans="1:9" ht="67.25" customHeight="1" x14ac:dyDescent="0.35">
      <c r="A7" s="81" t="s">
        <v>197</v>
      </c>
      <c r="B7" s="85"/>
      <c r="C7" s="84" t="s">
        <v>198</v>
      </c>
      <c r="D7" s="84" t="s">
        <v>199</v>
      </c>
      <c r="E7" s="84"/>
      <c r="F7" s="84"/>
      <c r="G7" s="84"/>
      <c r="H7" s="82"/>
      <c r="I7" s="81"/>
    </row>
    <row r="8" spans="1:9" ht="64.25" customHeight="1" x14ac:dyDescent="0.35">
      <c r="A8" s="81" t="s">
        <v>200</v>
      </c>
      <c r="B8" s="85"/>
      <c r="C8" s="84" t="s">
        <v>201</v>
      </c>
      <c r="D8" s="84" t="s">
        <v>452</v>
      </c>
      <c r="E8" s="84"/>
      <c r="F8" s="84"/>
      <c r="G8" s="84"/>
      <c r="H8" s="82"/>
      <c r="I8" s="81"/>
    </row>
    <row r="9" spans="1:9" ht="22.25" customHeight="1" x14ac:dyDescent="0.35">
      <c r="A9" s="86" t="s">
        <v>202</v>
      </c>
      <c r="B9" s="86"/>
      <c r="C9" s="86"/>
      <c r="D9" s="86"/>
      <c r="E9" s="87"/>
      <c r="F9" s="87"/>
      <c r="G9" s="87"/>
      <c r="H9" s="88"/>
      <c r="I9" s="89"/>
    </row>
    <row r="10" spans="1:9" ht="95" x14ac:dyDescent="0.35">
      <c r="A10" s="81" t="s">
        <v>203</v>
      </c>
      <c r="B10" s="81" t="s">
        <v>204</v>
      </c>
      <c r="C10" s="81" t="s">
        <v>205</v>
      </c>
      <c r="D10" s="81" t="s">
        <v>206</v>
      </c>
      <c r="E10" s="81"/>
      <c r="F10" s="81"/>
      <c r="G10" s="81"/>
      <c r="H10" s="88"/>
      <c r="I10" s="89"/>
    </row>
    <row r="11" spans="1:9" ht="95" x14ac:dyDescent="0.35">
      <c r="A11" s="81" t="s">
        <v>207</v>
      </c>
      <c r="B11" s="83" t="s">
        <v>48</v>
      </c>
      <c r="C11" s="81" t="s">
        <v>208</v>
      </c>
      <c r="D11" s="81" t="s">
        <v>52</v>
      </c>
      <c r="E11" s="81"/>
      <c r="F11" s="81"/>
      <c r="G11" s="81"/>
      <c r="H11" s="88"/>
      <c r="I11" s="89"/>
    </row>
    <row r="12" spans="1:9" ht="76" x14ac:dyDescent="0.35">
      <c r="A12" s="81" t="s">
        <v>209</v>
      </c>
      <c r="B12" s="85"/>
      <c r="C12" s="81" t="s">
        <v>210</v>
      </c>
      <c r="D12" s="81" t="s">
        <v>52</v>
      </c>
      <c r="E12" s="81"/>
      <c r="F12" s="81"/>
      <c r="G12" s="81"/>
      <c r="H12" s="88"/>
      <c r="I12" s="89"/>
    </row>
    <row r="13" spans="1:9" ht="76" x14ac:dyDescent="0.35">
      <c r="A13" s="81" t="s">
        <v>211</v>
      </c>
      <c r="B13" s="85"/>
      <c r="C13" s="81" t="s">
        <v>212</v>
      </c>
      <c r="D13" s="81" t="s">
        <v>213</v>
      </c>
      <c r="E13" s="81"/>
      <c r="F13" s="81"/>
      <c r="G13" s="81"/>
      <c r="H13" s="88"/>
      <c r="I13" s="89"/>
    </row>
    <row r="14" spans="1:9" ht="76" x14ac:dyDescent="0.35">
      <c r="A14" s="81" t="s">
        <v>214</v>
      </c>
      <c r="B14" s="90"/>
      <c r="C14" s="81" t="s">
        <v>215</v>
      </c>
      <c r="D14" s="81" t="s">
        <v>213</v>
      </c>
      <c r="E14" s="81"/>
      <c r="F14" s="81"/>
      <c r="G14" s="81"/>
      <c r="H14" s="88"/>
      <c r="I14" s="89"/>
    </row>
    <row r="15" spans="1:9" ht="76" x14ac:dyDescent="0.35">
      <c r="A15" s="81" t="s">
        <v>216</v>
      </c>
      <c r="B15" s="83" t="s">
        <v>55</v>
      </c>
      <c r="C15" s="81" t="s">
        <v>217</v>
      </c>
      <c r="D15" s="81" t="s">
        <v>218</v>
      </c>
      <c r="E15" s="81"/>
      <c r="F15" s="81"/>
      <c r="G15" s="81"/>
      <c r="H15" s="88"/>
      <c r="I15" s="89"/>
    </row>
    <row r="16" spans="1:9" ht="76" x14ac:dyDescent="0.35">
      <c r="A16" s="81" t="s">
        <v>219</v>
      </c>
      <c r="B16" s="85"/>
      <c r="C16" s="81" t="s">
        <v>220</v>
      </c>
      <c r="D16" s="81" t="s">
        <v>218</v>
      </c>
      <c r="E16" s="81"/>
      <c r="F16" s="81"/>
      <c r="G16" s="81"/>
      <c r="H16" s="88"/>
      <c r="I16" s="89"/>
    </row>
    <row r="17" spans="1:9" ht="76" x14ac:dyDescent="0.35">
      <c r="A17" s="81" t="s">
        <v>221</v>
      </c>
      <c r="B17" s="90"/>
      <c r="C17" s="81" t="s">
        <v>222</v>
      </c>
      <c r="D17" s="81" t="s">
        <v>223</v>
      </c>
      <c r="E17" s="81"/>
      <c r="F17" s="81"/>
      <c r="G17" s="81"/>
      <c r="H17" s="88"/>
      <c r="I17" s="89"/>
    </row>
    <row r="18" spans="1:9" ht="23" customHeight="1" x14ac:dyDescent="0.35">
      <c r="A18" s="86" t="s">
        <v>224</v>
      </c>
      <c r="B18" s="86"/>
      <c r="C18" s="86"/>
      <c r="D18" s="86"/>
      <c r="E18" s="87"/>
      <c r="F18" s="87"/>
      <c r="G18" s="87"/>
      <c r="H18" s="88"/>
      <c r="I18" s="89"/>
    </row>
    <row r="19" spans="1:9" ht="95" x14ac:dyDescent="0.35">
      <c r="A19" s="81" t="s">
        <v>225</v>
      </c>
      <c r="B19" s="81" t="s">
        <v>226</v>
      </c>
      <c r="C19" s="81" t="s">
        <v>205</v>
      </c>
      <c r="D19" s="81" t="s">
        <v>206</v>
      </c>
      <c r="E19" s="81"/>
      <c r="F19" s="81"/>
      <c r="G19" s="81"/>
      <c r="H19" s="88"/>
      <c r="I19" s="89"/>
    </row>
    <row r="20" spans="1:9" ht="95" x14ac:dyDescent="0.35">
      <c r="A20" s="81" t="s">
        <v>227</v>
      </c>
      <c r="B20" s="83" t="s">
        <v>48</v>
      </c>
      <c r="C20" s="81" t="s">
        <v>208</v>
      </c>
      <c r="D20" s="81" t="s">
        <v>52</v>
      </c>
      <c r="E20" s="81"/>
      <c r="F20" s="81"/>
      <c r="G20" s="81"/>
      <c r="H20" s="88"/>
      <c r="I20" s="89"/>
    </row>
    <row r="21" spans="1:9" ht="76" x14ac:dyDescent="0.35">
      <c r="A21" s="81" t="s">
        <v>228</v>
      </c>
      <c r="B21" s="85"/>
      <c r="C21" s="81" t="s">
        <v>210</v>
      </c>
      <c r="D21" s="81" t="s">
        <v>52</v>
      </c>
      <c r="E21" s="81"/>
      <c r="F21" s="81"/>
      <c r="G21" s="81"/>
      <c r="H21" s="88"/>
      <c r="I21" s="89"/>
    </row>
    <row r="22" spans="1:9" ht="76" x14ac:dyDescent="0.35">
      <c r="A22" s="81" t="s">
        <v>229</v>
      </c>
      <c r="B22" s="85"/>
      <c r="C22" s="81" t="s">
        <v>212</v>
      </c>
      <c r="D22" s="81" t="s">
        <v>213</v>
      </c>
      <c r="E22" s="81"/>
      <c r="F22" s="81"/>
      <c r="G22" s="81"/>
      <c r="H22" s="82"/>
      <c r="I22" s="89"/>
    </row>
    <row r="23" spans="1:9" ht="76" x14ac:dyDescent="0.35">
      <c r="A23" s="81" t="s">
        <v>230</v>
      </c>
      <c r="B23" s="90"/>
      <c r="C23" s="81" t="s">
        <v>231</v>
      </c>
      <c r="D23" s="81" t="s">
        <v>213</v>
      </c>
      <c r="E23" s="81"/>
      <c r="F23" s="81"/>
      <c r="G23" s="81"/>
      <c r="H23" s="82"/>
      <c r="I23" s="89"/>
    </row>
    <row r="24" spans="1:9" ht="76" x14ac:dyDescent="0.35">
      <c r="A24" s="81"/>
      <c r="B24" s="81" t="s">
        <v>232</v>
      </c>
      <c r="C24" s="81" t="s">
        <v>233</v>
      </c>
      <c r="D24" s="81" t="s">
        <v>234</v>
      </c>
      <c r="E24" s="81"/>
      <c r="F24" s="81"/>
      <c r="G24" s="81"/>
      <c r="H24" s="82"/>
      <c r="I24" s="89"/>
    </row>
    <row r="25" spans="1:9" ht="76" x14ac:dyDescent="0.35">
      <c r="A25" s="81"/>
      <c r="B25" s="83" t="s">
        <v>55</v>
      </c>
      <c r="C25" s="81" t="s">
        <v>217</v>
      </c>
      <c r="D25" s="81" t="s">
        <v>218</v>
      </c>
      <c r="E25" s="81"/>
      <c r="F25" s="81"/>
      <c r="G25" s="81"/>
      <c r="H25" s="82"/>
      <c r="I25" s="89"/>
    </row>
    <row r="26" spans="1:9" ht="76" x14ac:dyDescent="0.35">
      <c r="A26" s="81"/>
      <c r="B26" s="85"/>
      <c r="C26" s="81" t="s">
        <v>220</v>
      </c>
      <c r="D26" s="81" t="s">
        <v>218</v>
      </c>
      <c r="E26" s="81"/>
      <c r="F26" s="81"/>
      <c r="G26" s="81"/>
      <c r="H26" s="82"/>
      <c r="I26" s="89"/>
    </row>
    <row r="27" spans="1:9" ht="76" x14ac:dyDescent="0.35">
      <c r="A27" s="81"/>
      <c r="B27" s="90"/>
      <c r="C27" s="81" t="s">
        <v>222</v>
      </c>
      <c r="D27" s="81" t="s">
        <v>223</v>
      </c>
      <c r="E27" s="81"/>
      <c r="F27" s="81"/>
      <c r="G27" s="81"/>
      <c r="H27" s="82"/>
      <c r="I27" s="89"/>
    </row>
    <row r="28" spans="1:9" x14ac:dyDescent="0.35">
      <c r="A28" s="86" t="s">
        <v>235</v>
      </c>
      <c r="B28" s="86"/>
      <c r="C28" s="86"/>
      <c r="D28" s="86"/>
      <c r="E28" s="87"/>
      <c r="F28" s="87"/>
      <c r="G28" s="87"/>
      <c r="H28" s="82"/>
      <c r="I28" s="89"/>
    </row>
    <row r="29" spans="1:9" ht="95" x14ac:dyDescent="0.35">
      <c r="A29" s="81" t="s">
        <v>236</v>
      </c>
      <c r="B29" s="81" t="s">
        <v>42</v>
      </c>
      <c r="C29" s="81" t="s">
        <v>237</v>
      </c>
      <c r="D29" s="81" t="s">
        <v>238</v>
      </c>
      <c r="E29" s="81"/>
      <c r="F29" s="81"/>
      <c r="G29" s="81"/>
      <c r="H29" s="82"/>
      <c r="I29" s="89"/>
    </row>
    <row r="30" spans="1:9" ht="171" x14ac:dyDescent="0.35">
      <c r="A30" s="81" t="s">
        <v>239</v>
      </c>
      <c r="B30" s="81" t="s">
        <v>240</v>
      </c>
      <c r="C30" s="81" t="s">
        <v>241</v>
      </c>
      <c r="D30" s="91" t="s">
        <v>242</v>
      </c>
      <c r="E30" s="81"/>
      <c r="F30" s="81"/>
      <c r="G30" s="81"/>
      <c r="H30" s="82"/>
      <c r="I30" s="89"/>
    </row>
    <row r="31" spans="1:9" x14ac:dyDescent="0.35">
      <c r="A31" s="86" t="s">
        <v>243</v>
      </c>
      <c r="B31" s="86"/>
      <c r="C31" s="86"/>
      <c r="D31" s="86"/>
      <c r="E31" s="87"/>
      <c r="F31" s="87"/>
      <c r="G31" s="87"/>
      <c r="H31" s="82"/>
      <c r="I31" s="89"/>
    </row>
    <row r="32" spans="1:9" ht="76" x14ac:dyDescent="0.35">
      <c r="A32" s="81" t="s">
        <v>244</v>
      </c>
      <c r="B32" s="81" t="s">
        <v>42</v>
      </c>
      <c r="C32" s="81" t="s">
        <v>245</v>
      </c>
      <c r="D32" s="81" t="s">
        <v>206</v>
      </c>
      <c r="E32" s="81"/>
      <c r="F32" s="81"/>
      <c r="G32" s="81"/>
      <c r="H32" s="82"/>
      <c r="I32" s="89"/>
    </row>
    <row r="33" spans="1:9" ht="76" x14ac:dyDescent="0.35">
      <c r="A33" s="81" t="s">
        <v>246</v>
      </c>
      <c r="B33" s="81" t="s">
        <v>247</v>
      </c>
      <c r="C33" s="81" t="s">
        <v>248</v>
      </c>
      <c r="D33" s="81" t="s">
        <v>249</v>
      </c>
      <c r="E33" s="81"/>
      <c r="F33" s="81"/>
      <c r="G33" s="81"/>
      <c r="H33" s="82"/>
      <c r="I33" s="89"/>
    </row>
    <row r="34" spans="1:9" x14ac:dyDescent="0.35">
      <c r="A34" s="81"/>
      <c r="B34" s="81"/>
      <c r="C34" s="81"/>
      <c r="D34" s="81"/>
      <c r="E34" s="81"/>
      <c r="F34" s="81"/>
      <c r="G34" s="81"/>
      <c r="H34" s="82"/>
      <c r="I34" s="89"/>
    </row>
    <row r="35" spans="1:9" x14ac:dyDescent="0.35">
      <c r="A35" s="86" t="s">
        <v>250</v>
      </c>
      <c r="B35" s="86"/>
      <c r="C35" s="86"/>
      <c r="D35" s="86"/>
      <c r="E35" s="87"/>
      <c r="F35" s="87"/>
      <c r="G35" s="87"/>
      <c r="H35" s="82"/>
      <c r="I35" s="89"/>
    </row>
    <row r="36" spans="1:9" ht="76" x14ac:dyDescent="0.35">
      <c r="A36" s="81" t="s">
        <v>244</v>
      </c>
      <c r="B36" s="81" t="s">
        <v>251</v>
      </c>
      <c r="C36" s="81" t="s">
        <v>252</v>
      </c>
      <c r="D36" s="91" t="s">
        <v>253</v>
      </c>
      <c r="E36" s="81"/>
      <c r="F36" s="81"/>
      <c r="G36" s="81"/>
      <c r="H36" s="82"/>
      <c r="I36" s="89"/>
    </row>
    <row r="37" spans="1:9" ht="90" customHeight="1" x14ac:dyDescent="0.35">
      <c r="A37" s="81" t="s">
        <v>246</v>
      </c>
      <c r="B37" s="81" t="s">
        <v>254</v>
      </c>
      <c r="C37" s="81" t="s">
        <v>255</v>
      </c>
      <c r="D37" s="91" t="s">
        <v>256</v>
      </c>
      <c r="E37" s="81"/>
      <c r="F37" s="81"/>
      <c r="G37" s="81"/>
      <c r="H37" s="82"/>
      <c r="I37" s="89"/>
    </row>
    <row r="38" spans="1:9" s="95" customFormat="1" ht="27" customHeight="1" x14ac:dyDescent="0.35">
      <c r="A38" s="92" t="s">
        <v>257</v>
      </c>
      <c r="B38" s="93"/>
      <c r="C38" s="93"/>
      <c r="D38" s="93"/>
      <c r="E38" s="93"/>
      <c r="F38" s="93"/>
      <c r="G38" s="93"/>
      <c r="H38" s="93"/>
      <c r="I38" s="94"/>
    </row>
    <row r="39" spans="1:9" x14ac:dyDescent="0.35">
      <c r="A39" s="86" t="s">
        <v>258</v>
      </c>
      <c r="B39" s="86"/>
      <c r="C39" s="86"/>
      <c r="D39" s="86"/>
      <c r="E39" s="86"/>
      <c r="F39" s="86"/>
      <c r="G39" s="86"/>
      <c r="H39" s="86"/>
      <c r="I39" s="86"/>
    </row>
    <row r="40" spans="1:9" ht="95" x14ac:dyDescent="0.35">
      <c r="A40" s="81"/>
      <c r="B40" s="81" t="s">
        <v>259</v>
      </c>
      <c r="C40" s="81" t="s">
        <v>260</v>
      </c>
      <c r="D40" s="81" t="s">
        <v>261</v>
      </c>
      <c r="E40" s="81"/>
      <c r="F40" s="81"/>
      <c r="G40" s="81"/>
      <c r="H40" s="88"/>
      <c r="I40" s="89"/>
    </row>
    <row r="41" spans="1:9" ht="114" x14ac:dyDescent="0.35">
      <c r="A41" s="81"/>
      <c r="B41" s="81" t="s">
        <v>262</v>
      </c>
      <c r="C41" s="81" t="s">
        <v>263</v>
      </c>
      <c r="D41" s="81" t="s">
        <v>261</v>
      </c>
      <c r="E41" s="81"/>
      <c r="F41" s="81"/>
      <c r="G41" s="81"/>
      <c r="H41" s="88"/>
      <c r="I41" s="89"/>
    </row>
    <row r="42" spans="1:9" ht="114" x14ac:dyDescent="0.35">
      <c r="A42" s="81"/>
      <c r="B42" s="81" t="s">
        <v>264</v>
      </c>
      <c r="C42" s="81" t="s">
        <v>265</v>
      </c>
      <c r="D42" s="81" t="s">
        <v>261</v>
      </c>
      <c r="E42" s="81"/>
      <c r="F42" s="81"/>
      <c r="G42" s="81"/>
      <c r="H42" s="88"/>
      <c r="I42" s="89"/>
    </row>
    <row r="43" spans="1:9" x14ac:dyDescent="0.35">
      <c r="A43" s="86" t="s">
        <v>266</v>
      </c>
      <c r="B43" s="86"/>
      <c r="C43" s="86"/>
      <c r="D43" s="86"/>
      <c r="E43" s="86"/>
      <c r="F43" s="86"/>
      <c r="G43" s="86"/>
      <c r="H43" s="86"/>
      <c r="I43" s="86"/>
    </row>
    <row r="44" spans="1:9" ht="114" x14ac:dyDescent="0.35">
      <c r="A44" s="81" t="s">
        <v>246</v>
      </c>
      <c r="B44" s="96" t="s">
        <v>267</v>
      </c>
      <c r="C44" s="81" t="s">
        <v>268</v>
      </c>
      <c r="D44" s="81" t="s">
        <v>269</v>
      </c>
      <c r="E44" s="81"/>
      <c r="F44" s="81"/>
      <c r="G44" s="81"/>
      <c r="H44" s="88"/>
      <c r="I44" s="89"/>
    </row>
    <row r="45" spans="1:9" ht="114" x14ac:dyDescent="0.35">
      <c r="A45" s="81" t="s">
        <v>270</v>
      </c>
      <c r="B45" s="97"/>
      <c r="C45" s="81" t="s">
        <v>271</v>
      </c>
      <c r="D45" s="81" t="s">
        <v>269</v>
      </c>
      <c r="E45" s="81"/>
      <c r="F45" s="81"/>
      <c r="G45" s="81"/>
      <c r="H45" s="88"/>
      <c r="I45" s="89"/>
    </row>
    <row r="46" spans="1:9" ht="133" x14ac:dyDescent="0.35">
      <c r="A46" s="81" t="s">
        <v>272</v>
      </c>
      <c r="B46" s="97"/>
      <c r="C46" s="81" t="s">
        <v>273</v>
      </c>
      <c r="D46" s="81" t="s">
        <v>269</v>
      </c>
      <c r="E46" s="81"/>
      <c r="F46" s="81"/>
      <c r="G46" s="81"/>
      <c r="H46" s="88"/>
      <c r="I46" s="89"/>
    </row>
    <row r="47" spans="1:9" ht="114" x14ac:dyDescent="0.35">
      <c r="A47" s="81" t="s">
        <v>274</v>
      </c>
      <c r="B47" s="98"/>
      <c r="C47" s="81" t="s">
        <v>275</v>
      </c>
      <c r="D47" s="81" t="s">
        <v>269</v>
      </c>
      <c r="E47" s="81"/>
      <c r="F47" s="81"/>
      <c r="G47" s="81"/>
      <c r="H47" s="88"/>
      <c r="I47" s="89"/>
    </row>
    <row r="48" spans="1:9" ht="114" x14ac:dyDescent="0.35">
      <c r="A48" s="81" t="s">
        <v>276</v>
      </c>
      <c r="B48" s="96" t="s">
        <v>277</v>
      </c>
      <c r="C48" s="81" t="s">
        <v>278</v>
      </c>
      <c r="D48" s="81" t="s">
        <v>269</v>
      </c>
      <c r="E48" s="81"/>
      <c r="F48" s="81"/>
      <c r="G48" s="81"/>
      <c r="H48" s="88"/>
      <c r="I48" s="89"/>
    </row>
    <row r="49" spans="1:9" ht="114" x14ac:dyDescent="0.35">
      <c r="A49" s="81" t="s">
        <v>279</v>
      </c>
      <c r="B49" s="97"/>
      <c r="C49" s="81" t="s">
        <v>280</v>
      </c>
      <c r="D49" s="81" t="s">
        <v>269</v>
      </c>
      <c r="E49" s="81"/>
      <c r="F49" s="81"/>
      <c r="G49" s="81"/>
      <c r="H49" s="89"/>
      <c r="I49" s="89"/>
    </row>
    <row r="50" spans="1:9" ht="133" x14ac:dyDescent="0.35">
      <c r="A50" s="81" t="s">
        <v>281</v>
      </c>
      <c r="B50" s="97"/>
      <c r="C50" s="81" t="s">
        <v>282</v>
      </c>
      <c r="D50" s="81" t="s">
        <v>269</v>
      </c>
      <c r="E50" s="81"/>
      <c r="F50" s="81"/>
      <c r="G50" s="81"/>
      <c r="H50" s="89"/>
      <c r="I50" s="89"/>
    </row>
    <row r="51" spans="1:9" ht="114" x14ac:dyDescent="0.35">
      <c r="A51" s="81" t="s">
        <v>283</v>
      </c>
      <c r="B51" s="98"/>
      <c r="C51" s="81" t="s">
        <v>284</v>
      </c>
      <c r="D51" s="81" t="s">
        <v>269</v>
      </c>
      <c r="E51" s="81"/>
      <c r="F51" s="81"/>
      <c r="G51" s="81"/>
      <c r="H51" s="89"/>
      <c r="I51" s="89"/>
    </row>
    <row r="52" spans="1:9" ht="57" x14ac:dyDescent="0.35">
      <c r="A52" s="81" t="s">
        <v>285</v>
      </c>
      <c r="B52" s="99" t="s">
        <v>286</v>
      </c>
      <c r="C52" s="81" t="s">
        <v>287</v>
      </c>
      <c r="D52" s="81" t="s">
        <v>269</v>
      </c>
      <c r="E52" s="81"/>
      <c r="F52" s="81"/>
      <c r="G52" s="81"/>
      <c r="H52" s="89"/>
      <c r="I52" s="89"/>
    </row>
    <row r="53" spans="1:9" ht="57" x14ac:dyDescent="0.35">
      <c r="A53" s="81" t="s">
        <v>288</v>
      </c>
      <c r="B53" s="99"/>
      <c r="C53" s="81" t="s">
        <v>289</v>
      </c>
      <c r="D53" s="81" t="s">
        <v>269</v>
      </c>
      <c r="E53" s="81"/>
      <c r="F53" s="81"/>
      <c r="G53" s="81"/>
      <c r="H53" s="89"/>
      <c r="I53" s="89"/>
    </row>
    <row r="54" spans="1:9" ht="57" x14ac:dyDescent="0.35">
      <c r="A54" s="89"/>
      <c r="B54" s="99"/>
      <c r="C54" s="81" t="s">
        <v>290</v>
      </c>
      <c r="D54" s="81" t="s">
        <v>269</v>
      </c>
      <c r="E54" s="81"/>
      <c r="F54" s="81"/>
      <c r="G54" s="81"/>
      <c r="H54" s="89"/>
      <c r="I54" s="89"/>
    </row>
    <row r="55" spans="1:9" x14ac:dyDescent="0.35">
      <c r="A55" s="89"/>
      <c r="B55" s="100"/>
      <c r="C55" s="81"/>
      <c r="D55" s="81"/>
      <c r="E55" s="81"/>
      <c r="F55" s="81"/>
      <c r="G55" s="81"/>
      <c r="H55" s="89"/>
      <c r="I55" s="89"/>
    </row>
    <row r="56" spans="1:9" x14ac:dyDescent="0.35">
      <c r="A56" s="89"/>
      <c r="B56" s="81"/>
      <c r="C56" s="81"/>
      <c r="D56" s="81"/>
      <c r="E56" s="81"/>
      <c r="F56" s="81"/>
      <c r="G56" s="81"/>
      <c r="H56" s="89"/>
      <c r="I56" s="89"/>
    </row>
    <row r="57" spans="1:9" x14ac:dyDescent="0.35">
      <c r="A57" s="89"/>
      <c r="B57" s="81"/>
      <c r="C57" s="81"/>
      <c r="D57" s="81"/>
      <c r="E57" s="81"/>
      <c r="F57" s="81"/>
      <c r="G57" s="81"/>
      <c r="H57" s="89"/>
      <c r="I57" s="89"/>
    </row>
    <row r="58" spans="1:9" x14ac:dyDescent="0.35">
      <c r="A58" s="89"/>
      <c r="B58" s="81"/>
      <c r="C58" s="81"/>
      <c r="D58" s="81"/>
      <c r="E58" s="81"/>
      <c r="F58" s="81"/>
      <c r="G58" s="81"/>
      <c r="H58" s="89"/>
      <c r="I58" s="89"/>
    </row>
    <row r="59" spans="1:9" x14ac:dyDescent="0.35">
      <c r="A59" s="89"/>
      <c r="B59" s="81"/>
      <c r="C59" s="81"/>
      <c r="D59" s="81"/>
      <c r="E59" s="81"/>
      <c r="F59" s="81"/>
      <c r="G59" s="81"/>
      <c r="H59" s="89"/>
      <c r="I59" s="89"/>
    </row>
  </sheetData>
  <mergeCells count="24">
    <mergeCell ref="A38:I38"/>
    <mergeCell ref="A39:I39"/>
    <mergeCell ref="A43:I43"/>
    <mergeCell ref="B44:B47"/>
    <mergeCell ref="B48:B51"/>
    <mergeCell ref="B52:B54"/>
    <mergeCell ref="A18:D18"/>
    <mergeCell ref="B20:B23"/>
    <mergeCell ref="B25:B27"/>
    <mergeCell ref="A28:D28"/>
    <mergeCell ref="A31:D31"/>
    <mergeCell ref="A35:D35"/>
    <mergeCell ref="I2:I3"/>
    <mergeCell ref="A4:I4"/>
    <mergeCell ref="B6:B8"/>
    <mergeCell ref="A9:D9"/>
    <mergeCell ref="B11:B14"/>
    <mergeCell ref="B15:B17"/>
    <mergeCell ref="A2:A3"/>
    <mergeCell ref="B2:B3"/>
    <mergeCell ref="C2:C3"/>
    <mergeCell ref="D2:D3"/>
    <mergeCell ref="E2:G2"/>
    <mergeCell ref="H2:H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8DAD-48CE-4D8D-B793-94061A42EA1F}">
  <dimension ref="B6:E27"/>
  <sheetViews>
    <sheetView topLeftCell="B1" workbookViewId="0">
      <selection activeCell="B7" sqref="B7"/>
    </sheetView>
  </sheetViews>
  <sheetFormatPr defaultRowHeight="14.5" x14ac:dyDescent="0.35"/>
  <cols>
    <col min="1" max="1" width="8.7265625" style="44"/>
    <col min="2" max="2" width="24.54296875" style="44" bestFit="1" customWidth="1"/>
    <col min="3" max="3" width="55" style="44" bestFit="1" customWidth="1"/>
    <col min="4" max="4" width="18" style="44" bestFit="1" customWidth="1"/>
    <col min="5" max="5" width="25.36328125" style="44" bestFit="1" customWidth="1"/>
    <col min="6" max="16384" width="8.7265625" style="44"/>
  </cols>
  <sheetData>
    <row r="6" spans="2:3" x14ac:dyDescent="0.35">
      <c r="B6" s="44" t="s">
        <v>119</v>
      </c>
      <c r="C6" s="44" t="s">
        <v>120</v>
      </c>
    </row>
    <row r="7" spans="2:3" x14ac:dyDescent="0.35">
      <c r="C7" s="44" t="s">
        <v>121</v>
      </c>
    </row>
    <row r="8" spans="2:3" x14ac:dyDescent="0.35">
      <c r="C8" s="44" t="s">
        <v>122</v>
      </c>
    </row>
    <row r="10" spans="2:3" x14ac:dyDescent="0.35">
      <c r="C10" s="44" t="s">
        <v>123</v>
      </c>
    </row>
    <row r="11" spans="2:3" x14ac:dyDescent="0.35">
      <c r="C11" s="44" t="s">
        <v>124</v>
      </c>
    </row>
    <row r="12" spans="2:3" x14ac:dyDescent="0.35">
      <c r="C12" s="44" t="s">
        <v>125</v>
      </c>
    </row>
    <row r="14" spans="2:3" x14ac:dyDescent="0.35">
      <c r="C14" s="44" t="s">
        <v>126</v>
      </c>
    </row>
    <row r="15" spans="2:3" x14ac:dyDescent="0.35">
      <c r="C15" s="44" t="s">
        <v>107</v>
      </c>
    </row>
    <row r="16" spans="2:3" x14ac:dyDescent="0.35">
      <c r="C16" s="44" t="s">
        <v>109</v>
      </c>
    </row>
    <row r="17" spans="2:5" x14ac:dyDescent="0.35">
      <c r="C17" s="44" t="s">
        <v>111</v>
      </c>
      <c r="D17" s="44" t="s">
        <v>127</v>
      </c>
      <c r="E17" s="44" t="s">
        <v>128</v>
      </c>
    </row>
    <row r="18" spans="2:5" x14ac:dyDescent="0.35">
      <c r="D18" s="44" t="s">
        <v>116</v>
      </c>
      <c r="E18" s="44" t="s">
        <v>129</v>
      </c>
    </row>
    <row r="19" spans="2:5" x14ac:dyDescent="0.35">
      <c r="D19" s="44" t="s">
        <v>112</v>
      </c>
      <c r="E19" s="44" t="s">
        <v>130</v>
      </c>
    </row>
    <row r="20" spans="2:5" x14ac:dyDescent="0.35">
      <c r="C20" s="44" t="s">
        <v>131</v>
      </c>
    </row>
    <row r="25" spans="2:5" x14ac:dyDescent="0.35">
      <c r="B25" s="44" t="s">
        <v>75</v>
      </c>
      <c r="C25" s="44" t="s">
        <v>132</v>
      </c>
    </row>
    <row r="26" spans="2:5" x14ac:dyDescent="0.35">
      <c r="C26" s="44" t="s">
        <v>133</v>
      </c>
    </row>
    <row r="27" spans="2:5" x14ac:dyDescent="0.35">
      <c r="C27" s="44" t="s">
        <v>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733E-E061-4C83-8DA5-DB6124EDF267}">
  <dimension ref="A1:S125"/>
  <sheetViews>
    <sheetView tabSelected="1" zoomScale="75" workbookViewId="0">
      <selection activeCell="B2" sqref="B2"/>
    </sheetView>
  </sheetViews>
  <sheetFormatPr defaultRowHeight="16" outlineLevelRow="1" x14ac:dyDescent="0.4"/>
  <cols>
    <col min="1" max="1" width="15.6328125" style="6" customWidth="1"/>
    <col min="2" max="2" width="45.08984375" style="6" customWidth="1"/>
    <col min="3" max="3" width="47" style="6" customWidth="1"/>
    <col min="4" max="4" width="55.08984375" style="6" customWidth="1"/>
    <col min="5" max="7" width="8.7265625" style="6"/>
    <col min="8" max="16" width="0" style="6" hidden="1" customWidth="1"/>
    <col min="17" max="18" width="8.7265625" style="6"/>
    <col min="19" max="19" width="28.54296875" style="6" customWidth="1"/>
    <col min="20" max="16384" width="8.7265625" style="6"/>
  </cols>
  <sheetData>
    <row r="1" spans="1:19" x14ac:dyDescent="0.4">
      <c r="A1" s="1"/>
      <c r="B1" s="2"/>
      <c r="C1" s="3" t="s">
        <v>0</v>
      </c>
      <c r="D1" s="3"/>
      <c r="E1" s="4"/>
      <c r="F1" s="4"/>
      <c r="G1" s="4"/>
      <c r="H1" s="4"/>
      <c r="I1" s="4"/>
      <c r="J1" s="4"/>
      <c r="K1" s="4"/>
      <c r="L1" s="4"/>
      <c r="M1" s="4"/>
      <c r="N1" s="4"/>
      <c r="O1" s="4"/>
      <c r="P1" s="4"/>
      <c r="Q1" s="4"/>
      <c r="R1" s="5"/>
      <c r="S1" s="2"/>
    </row>
    <row r="2" spans="1:19" x14ac:dyDescent="0.4">
      <c r="A2" s="1"/>
      <c r="B2" s="2"/>
      <c r="C2" s="7" t="s">
        <v>1</v>
      </c>
      <c r="D2" s="2" t="s">
        <v>2</v>
      </c>
      <c r="E2" s="4"/>
      <c r="F2" s="4"/>
      <c r="G2" s="4"/>
      <c r="H2" s="4"/>
      <c r="I2" s="4"/>
      <c r="J2" s="4"/>
      <c r="K2" s="4"/>
      <c r="L2" s="4"/>
      <c r="M2" s="4"/>
      <c r="N2" s="4"/>
      <c r="O2" s="4"/>
      <c r="P2" s="4"/>
      <c r="Q2" s="4"/>
      <c r="R2" s="5"/>
      <c r="S2" s="2"/>
    </row>
    <row r="3" spans="1:19" x14ac:dyDescent="0.4">
      <c r="A3" s="1"/>
      <c r="B3" s="2"/>
      <c r="C3" s="7" t="s">
        <v>3</v>
      </c>
      <c r="D3" s="2" t="s">
        <v>4</v>
      </c>
      <c r="E3" s="4"/>
      <c r="F3" s="4"/>
      <c r="G3" s="4"/>
      <c r="H3" s="4"/>
      <c r="I3" s="4"/>
      <c r="J3" s="4"/>
      <c r="K3" s="4"/>
      <c r="L3" s="4"/>
      <c r="M3" s="4"/>
      <c r="N3" s="4"/>
      <c r="O3" s="4"/>
      <c r="P3" s="4"/>
      <c r="Q3" s="4"/>
      <c r="R3" s="5"/>
      <c r="S3" s="2"/>
    </row>
    <row r="4" spans="1:19" x14ac:dyDescent="0.4">
      <c r="A4" s="1"/>
      <c r="B4" s="2"/>
      <c r="C4" s="7" t="s">
        <v>5</v>
      </c>
      <c r="D4" s="8">
        <f>COUNTIF($Q$13:$Q$1022,"P")</f>
        <v>0</v>
      </c>
      <c r="E4" s="4"/>
      <c r="F4" s="4"/>
      <c r="G4" s="4"/>
      <c r="H4" s="4"/>
      <c r="I4" s="4"/>
      <c r="J4" s="4"/>
      <c r="K4" s="4"/>
      <c r="L4" s="4"/>
      <c r="M4" s="4"/>
      <c r="N4" s="4"/>
      <c r="O4" s="4"/>
      <c r="P4" s="4"/>
      <c r="Q4" s="4"/>
      <c r="R4" s="5"/>
      <c r="S4" s="2"/>
    </row>
    <row r="5" spans="1:19" x14ac:dyDescent="0.4">
      <c r="A5" s="1"/>
      <c r="B5" s="2"/>
      <c r="C5" s="7" t="s">
        <v>6</v>
      </c>
      <c r="D5" s="8">
        <f>COUNTIF($Q$13:$Q$1022,"F")</f>
        <v>0</v>
      </c>
      <c r="E5" s="4"/>
      <c r="F5" s="4"/>
      <c r="G5" s="4"/>
      <c r="H5" s="4"/>
      <c r="I5" s="4"/>
      <c r="J5" s="4"/>
      <c r="K5" s="4"/>
      <c r="L5" s="4"/>
      <c r="M5" s="4"/>
      <c r="N5" s="4"/>
      <c r="O5" s="4"/>
      <c r="P5" s="4"/>
      <c r="Q5" s="4"/>
      <c r="R5" s="5"/>
      <c r="S5" s="2"/>
    </row>
    <row r="6" spans="1:19" x14ac:dyDescent="0.4">
      <c r="A6" s="1"/>
      <c r="B6" s="2"/>
      <c r="C6" s="7" t="s">
        <v>7</v>
      </c>
      <c r="D6" s="8">
        <f>COUNTIF($Q$13:$Q$1022,"PE")</f>
        <v>0</v>
      </c>
      <c r="E6" s="4"/>
      <c r="F6" s="4"/>
      <c r="G6" s="4"/>
      <c r="H6" s="4"/>
      <c r="I6" s="4"/>
      <c r="J6" s="4"/>
      <c r="K6" s="4"/>
      <c r="L6" s="4"/>
      <c r="M6" s="4"/>
      <c r="N6" s="4"/>
      <c r="O6" s="4"/>
      <c r="P6" s="4"/>
      <c r="Q6" s="4"/>
      <c r="R6" s="5"/>
      <c r="S6" s="2"/>
    </row>
    <row r="7" spans="1:19" x14ac:dyDescent="0.4">
      <c r="A7" s="1"/>
      <c r="B7" s="2"/>
      <c r="C7" s="7" t="s">
        <v>8</v>
      </c>
      <c r="D7" s="8">
        <f>D8-D4-D5-D6</f>
        <v>49</v>
      </c>
      <c r="E7" s="4"/>
      <c r="F7" s="4"/>
      <c r="G7" s="4"/>
      <c r="H7" s="4"/>
      <c r="I7" s="4"/>
      <c r="J7" s="4"/>
      <c r="K7" s="4"/>
      <c r="L7" s="4"/>
      <c r="M7" s="4"/>
      <c r="N7" s="4"/>
      <c r="O7" s="4"/>
      <c r="P7" s="4"/>
      <c r="Q7" s="4"/>
      <c r="R7" s="5"/>
      <c r="S7" s="2"/>
    </row>
    <row r="8" spans="1:19" x14ac:dyDescent="0.4">
      <c r="A8" s="1"/>
      <c r="B8" s="2"/>
      <c r="C8" s="7" t="s">
        <v>9</v>
      </c>
      <c r="D8" s="8">
        <f>COUNTA($D$13:$D$1022)</f>
        <v>49</v>
      </c>
      <c r="E8" s="4"/>
      <c r="F8" s="4"/>
      <c r="G8" s="4"/>
      <c r="H8" s="4"/>
      <c r="I8" s="4"/>
      <c r="J8" s="4"/>
      <c r="K8" s="4"/>
      <c r="L8" s="4"/>
      <c r="M8" s="4"/>
      <c r="N8" s="4"/>
      <c r="O8" s="4"/>
      <c r="P8" s="4"/>
      <c r="Q8" s="4"/>
      <c r="R8" s="5"/>
      <c r="S8" s="2"/>
    </row>
    <row r="9" spans="1:19" x14ac:dyDescent="0.4">
      <c r="A9" s="1"/>
      <c r="B9" s="2"/>
      <c r="C9" s="2"/>
      <c r="D9" s="2"/>
      <c r="E9" s="4"/>
      <c r="F9" s="4"/>
      <c r="G9" s="4"/>
      <c r="H9" s="4"/>
      <c r="I9" s="4"/>
      <c r="J9" s="4"/>
      <c r="K9" s="4"/>
      <c r="L9" s="4"/>
      <c r="M9" s="4"/>
      <c r="N9" s="4"/>
      <c r="O9" s="4"/>
      <c r="P9" s="4"/>
      <c r="Q9" s="4"/>
      <c r="R9" s="5"/>
      <c r="S9" s="2"/>
    </row>
    <row r="10" spans="1:19" x14ac:dyDescent="0.4">
      <c r="A10" s="9" t="s">
        <v>3</v>
      </c>
      <c r="B10" s="9" t="s">
        <v>10</v>
      </c>
      <c r="C10" s="9" t="s">
        <v>11</v>
      </c>
      <c r="D10" s="9" t="s">
        <v>12</v>
      </c>
      <c r="E10" s="9" t="s">
        <v>13</v>
      </c>
      <c r="F10" s="9"/>
      <c r="G10" s="9"/>
      <c r="H10" s="9" t="s">
        <v>14</v>
      </c>
      <c r="I10" s="9"/>
      <c r="J10" s="9"/>
      <c r="K10" s="9" t="s">
        <v>15</v>
      </c>
      <c r="L10" s="9"/>
      <c r="M10" s="9"/>
      <c r="N10" s="9" t="s">
        <v>16</v>
      </c>
      <c r="O10" s="9"/>
      <c r="P10" s="9"/>
      <c r="Q10" s="9" t="s">
        <v>17</v>
      </c>
      <c r="R10" s="10" t="s">
        <v>18</v>
      </c>
      <c r="S10" s="9" t="s">
        <v>19</v>
      </c>
    </row>
    <row r="11" spans="1:19" x14ac:dyDescent="0.4">
      <c r="A11" s="9"/>
      <c r="B11" s="9"/>
      <c r="C11" s="9"/>
      <c r="D11" s="9"/>
      <c r="E11" s="11" t="s">
        <v>20</v>
      </c>
      <c r="F11" s="11" t="s">
        <v>21</v>
      </c>
      <c r="G11" s="11" t="s">
        <v>22</v>
      </c>
      <c r="H11" s="11" t="s">
        <v>20</v>
      </c>
      <c r="I11" s="11" t="s">
        <v>21</v>
      </c>
      <c r="J11" s="11" t="s">
        <v>22</v>
      </c>
      <c r="K11" s="11" t="s">
        <v>20</v>
      </c>
      <c r="L11" s="11" t="s">
        <v>21</v>
      </c>
      <c r="M11" s="11" t="s">
        <v>22</v>
      </c>
      <c r="N11" s="11" t="s">
        <v>20</v>
      </c>
      <c r="O11" s="11" t="s">
        <v>21</v>
      </c>
      <c r="P11" s="11" t="s">
        <v>22</v>
      </c>
      <c r="Q11" s="9"/>
      <c r="R11" s="10"/>
      <c r="S11" s="9"/>
    </row>
    <row r="12" spans="1:19" x14ac:dyDescent="0.4">
      <c r="A12" s="12"/>
      <c r="B12" s="13" t="s">
        <v>23</v>
      </c>
      <c r="C12" s="13"/>
      <c r="D12" s="13"/>
      <c r="E12" s="14"/>
      <c r="F12" s="14"/>
      <c r="G12" s="14"/>
      <c r="H12" s="14"/>
      <c r="I12" s="14"/>
      <c r="J12" s="14"/>
      <c r="K12" s="14"/>
      <c r="L12" s="14"/>
      <c r="M12" s="14"/>
      <c r="N12" s="14"/>
      <c r="O12" s="14"/>
      <c r="P12" s="14"/>
      <c r="Q12" s="14"/>
      <c r="R12" s="15"/>
      <c r="S12" s="16"/>
    </row>
    <row r="13" spans="1:19" x14ac:dyDescent="0.4">
      <c r="A13" s="17" t="str">
        <f>IF(AND(D13="",D13=""),"",$D$3&amp;"_"&amp;ROW()-11-COUNTBLANK($D$12:D13))</f>
        <v/>
      </c>
      <c r="B13" s="18" t="s">
        <v>24</v>
      </c>
      <c r="C13" s="18"/>
      <c r="D13" s="18"/>
      <c r="E13" s="19"/>
      <c r="F13" s="19"/>
      <c r="G13" s="19"/>
      <c r="H13" s="4"/>
      <c r="I13" s="4"/>
      <c r="J13" s="4"/>
      <c r="K13" s="4"/>
      <c r="L13" s="4"/>
      <c r="M13" s="4"/>
      <c r="N13" s="4"/>
      <c r="O13" s="4"/>
      <c r="P13" s="4"/>
      <c r="Q13" s="20" t="str">
        <f t="shared" ref="Q13:Q59" si="0">IF(OR(IF(G13="",IF(F13="",IF(E13="","",E13),F13),G13)="F",IF(J13="",IF(I13="",IF(H13="","",H13),I13),J13)="F",IF(M13="",IF(L13="",IF(K13="","",K13),L13),M13)="F",IF(P13="",IF(O13="",IF(N13="","",N13),O13),P13)="F")=TRUE,"F",IF(OR(IF(G13="",IF(F13="",IF(E13="","",E13),F13),G13)="PE",IF(J13="",IF(I13="",IF(H13="","",H13),I13),J13)="PE",IF(M13="",IF(L13="",IF(K13="","",K13),L13),M13)="PE",IF(P13="",IF(O13="",IF(N13="","",N13),O13),P13)="PE")=TRUE,"PE",IF(AND(IF(G13="",IF(F13="",IF(E13="","",E13),F13),G13)="",IF(J13="",IF(I13="",IF(H13="","",H13),I13),J13)="",IF(M13="",IF(L13="",IF(K13="","",K13),L13),M13)="",IF(P13="",IF(O13="",IF(N13="","",N13),O13),P13)="")=TRUE,"","P")))</f>
        <v/>
      </c>
      <c r="R13" s="5"/>
      <c r="S13" s="2"/>
    </row>
    <row r="14" spans="1:19" ht="83" customHeight="1" outlineLevel="1" x14ac:dyDescent="0.4">
      <c r="A14" s="17" t="str">
        <f>IF(AND(D14="",D14=""),"",$D$3&amp;"_"&amp;ROW()-11-COUNTBLANK($D$12:D14))</f>
        <v>ConvertRate_1</v>
      </c>
      <c r="B14" s="21" t="s">
        <v>25</v>
      </c>
      <c r="C14" s="21" t="s">
        <v>450</v>
      </c>
      <c r="D14" s="22" t="s">
        <v>451</v>
      </c>
      <c r="E14" s="19"/>
      <c r="F14" s="19"/>
      <c r="G14" s="19"/>
      <c r="H14" s="4"/>
      <c r="I14" s="4"/>
      <c r="J14" s="4"/>
      <c r="K14" s="4"/>
      <c r="L14" s="4"/>
      <c r="M14" s="4"/>
      <c r="N14" s="4"/>
      <c r="O14" s="4"/>
      <c r="P14" s="4"/>
      <c r="Q14" s="20" t="str">
        <f t="shared" si="0"/>
        <v/>
      </c>
      <c r="R14" s="5"/>
      <c r="S14" s="2"/>
    </row>
    <row r="15" spans="1:19" ht="124" outlineLevel="1" x14ac:dyDescent="0.4">
      <c r="A15" s="17" t="str">
        <f>IF(AND(D15="",D15=""),"",$D$3&amp;"_"&amp;ROW()-11-COUNTBLANK($D$12:D15))</f>
        <v>ConvertRate_2</v>
      </c>
      <c r="B15" s="21" t="s">
        <v>26</v>
      </c>
      <c r="C15" s="21" t="s">
        <v>27</v>
      </c>
      <c r="D15" s="21" t="s">
        <v>28</v>
      </c>
      <c r="E15" s="19"/>
      <c r="F15" s="19"/>
      <c r="G15" s="19"/>
      <c r="H15" s="4"/>
      <c r="I15" s="4"/>
      <c r="J15" s="4"/>
      <c r="K15" s="4"/>
      <c r="L15" s="4"/>
      <c r="M15" s="4"/>
      <c r="N15" s="4"/>
      <c r="O15" s="4"/>
      <c r="P15" s="4"/>
      <c r="Q15" s="20" t="str">
        <f t="shared" si="0"/>
        <v/>
      </c>
      <c r="R15" s="5"/>
      <c r="S15" s="2"/>
    </row>
    <row r="16" spans="1:19" ht="31" outlineLevel="1" x14ac:dyDescent="0.4">
      <c r="A16" s="17" t="str">
        <f>IF(AND(D16="",D16=""),"",$D$3&amp;"_"&amp;ROW()-11-COUNTBLANK($D$12:D16))</f>
        <v>ConvertRate_3</v>
      </c>
      <c r="B16" s="21" t="s">
        <v>29</v>
      </c>
      <c r="C16" s="21" t="s">
        <v>30</v>
      </c>
      <c r="D16" s="23" t="s">
        <v>31</v>
      </c>
      <c r="E16" s="19"/>
      <c r="F16" s="19"/>
      <c r="G16" s="19"/>
      <c r="H16" s="4"/>
      <c r="I16" s="4"/>
      <c r="J16" s="4"/>
      <c r="K16" s="4"/>
      <c r="L16" s="4"/>
      <c r="M16" s="4"/>
      <c r="N16" s="4"/>
      <c r="O16" s="4"/>
      <c r="P16" s="4"/>
      <c r="Q16" s="20" t="str">
        <f t="shared" si="0"/>
        <v/>
      </c>
      <c r="R16" s="5"/>
      <c r="S16" s="2"/>
    </row>
    <row r="17" spans="1:19" ht="31" outlineLevel="1" x14ac:dyDescent="0.4">
      <c r="A17" s="17" t="str">
        <f>IF(AND(D17="",D17=""),"",$D$3&amp;"_"&amp;ROW()-11-COUNTBLANK($D$12:D17))</f>
        <v>ConvertRate_4</v>
      </c>
      <c r="B17" s="21" t="s">
        <v>32</v>
      </c>
      <c r="C17" s="21" t="s">
        <v>33</v>
      </c>
      <c r="D17" s="21" t="s">
        <v>34</v>
      </c>
      <c r="E17" s="19"/>
      <c r="F17" s="19"/>
      <c r="G17" s="19"/>
      <c r="H17" s="4"/>
      <c r="I17" s="4"/>
      <c r="J17" s="4"/>
      <c r="K17" s="4"/>
      <c r="L17" s="4"/>
      <c r="M17" s="4"/>
      <c r="N17" s="4"/>
      <c r="O17" s="4"/>
      <c r="P17" s="4"/>
      <c r="Q17" s="20" t="str">
        <f t="shared" si="0"/>
        <v/>
      </c>
      <c r="R17" s="5"/>
      <c r="S17" s="2"/>
    </row>
    <row r="18" spans="1:19" ht="31" outlineLevel="1" x14ac:dyDescent="0.4">
      <c r="A18" s="17" t="str">
        <f>IF(AND(D18="",D18=""),"",$D$3&amp;"_"&amp;ROW()-11-COUNTBLANK($D$12:D18))</f>
        <v>ConvertRate_5</v>
      </c>
      <c r="B18" s="21" t="s">
        <v>35</v>
      </c>
      <c r="C18" s="21" t="s">
        <v>36</v>
      </c>
      <c r="D18" s="21" t="s">
        <v>37</v>
      </c>
      <c r="E18" s="19"/>
      <c r="F18" s="19"/>
      <c r="G18" s="19"/>
      <c r="H18" s="4"/>
      <c r="I18" s="4"/>
      <c r="J18" s="4"/>
      <c r="K18" s="4"/>
      <c r="L18" s="4"/>
      <c r="M18" s="4"/>
      <c r="N18" s="4"/>
      <c r="O18" s="4"/>
      <c r="P18" s="4"/>
      <c r="Q18" s="20" t="str">
        <f t="shared" si="0"/>
        <v/>
      </c>
      <c r="R18" s="5"/>
      <c r="S18" s="2"/>
    </row>
    <row r="19" spans="1:19" ht="31" outlineLevel="1" x14ac:dyDescent="0.4">
      <c r="A19" s="17" t="str">
        <f>IF(AND(D19="",D19=""),"",$D$3&amp;"_"&amp;ROW()-11-COUNTBLANK($D$12:D19))</f>
        <v>ConvertRate_6</v>
      </c>
      <c r="B19" s="24" t="s">
        <v>38</v>
      </c>
      <c r="C19" s="24" t="s">
        <v>39</v>
      </c>
      <c r="D19" s="24" t="s">
        <v>40</v>
      </c>
      <c r="E19" s="19"/>
      <c r="F19" s="19"/>
      <c r="G19" s="19"/>
      <c r="H19" s="4"/>
      <c r="I19" s="4"/>
      <c r="J19" s="4"/>
      <c r="K19" s="4"/>
      <c r="L19" s="4"/>
      <c r="M19" s="4"/>
      <c r="N19" s="4"/>
      <c r="O19" s="4"/>
      <c r="P19" s="4"/>
      <c r="Q19" s="20" t="str">
        <f t="shared" si="0"/>
        <v/>
      </c>
      <c r="R19" s="5"/>
      <c r="S19" s="2"/>
    </row>
    <row r="20" spans="1:19" x14ac:dyDescent="0.4">
      <c r="A20" s="17" t="str">
        <f>IF(AND(D20="",D20=""),"",$D$3&amp;"_"&amp;ROW()-11-COUNTBLANK($D$12:D20))</f>
        <v/>
      </c>
      <c r="B20" s="25" t="s">
        <v>41</v>
      </c>
      <c r="C20" s="25"/>
      <c r="D20" s="25"/>
      <c r="E20" s="19"/>
      <c r="F20" s="19"/>
      <c r="G20" s="19"/>
      <c r="H20" s="4"/>
      <c r="I20" s="4"/>
      <c r="J20" s="4"/>
      <c r="K20" s="4"/>
      <c r="L20" s="4"/>
      <c r="M20" s="4"/>
      <c r="N20" s="4"/>
      <c r="O20" s="4"/>
      <c r="P20" s="4"/>
      <c r="Q20" s="20" t="str">
        <f t="shared" si="0"/>
        <v/>
      </c>
      <c r="R20" s="5"/>
      <c r="S20" s="2"/>
    </row>
    <row r="21" spans="1:19" ht="31" outlineLevel="1" x14ac:dyDescent="0.4">
      <c r="A21" s="17" t="str">
        <f>IF(AND(D21="",D21=""),"",$D$3&amp;"_"&amp;ROW()-11-COUNTBLANK($D$12:D21))</f>
        <v>ConvertRate_7</v>
      </c>
      <c r="B21" s="24" t="s">
        <v>42</v>
      </c>
      <c r="C21" s="21" t="s">
        <v>43</v>
      </c>
      <c r="D21" s="24" t="s">
        <v>44</v>
      </c>
      <c r="E21" s="19"/>
      <c r="F21" s="19"/>
      <c r="G21" s="19"/>
      <c r="H21" s="4"/>
      <c r="I21" s="4"/>
      <c r="J21" s="4"/>
      <c r="K21" s="4"/>
      <c r="L21" s="4"/>
      <c r="M21" s="4"/>
      <c r="N21" s="4"/>
      <c r="O21" s="4"/>
      <c r="P21" s="4"/>
      <c r="Q21" s="20" t="str">
        <f t="shared" si="0"/>
        <v/>
      </c>
      <c r="R21" s="5"/>
      <c r="S21" s="2"/>
    </row>
    <row r="22" spans="1:19" ht="31" outlineLevel="1" x14ac:dyDescent="0.4">
      <c r="A22" s="17" t="str">
        <f>IF(AND(D22="",D22=""),"",$D$3&amp;"_"&amp;ROW()-11-COUNTBLANK($D$12:D22))</f>
        <v>ConvertRate_8</v>
      </c>
      <c r="B22" s="26" t="s">
        <v>45</v>
      </c>
      <c r="C22" s="21" t="s">
        <v>46</v>
      </c>
      <c r="D22" s="27" t="s">
        <v>47</v>
      </c>
      <c r="E22" s="19"/>
      <c r="F22" s="19"/>
      <c r="G22" s="19"/>
      <c r="H22" s="4"/>
      <c r="I22" s="4"/>
      <c r="J22" s="4"/>
      <c r="K22" s="4"/>
      <c r="L22" s="4"/>
      <c r="M22" s="4"/>
      <c r="N22" s="4"/>
      <c r="O22" s="4"/>
      <c r="P22" s="4"/>
      <c r="Q22" s="20" t="str">
        <f t="shared" si="0"/>
        <v/>
      </c>
      <c r="R22" s="5"/>
      <c r="S22" s="2"/>
    </row>
    <row r="23" spans="1:19" ht="31" outlineLevel="1" x14ac:dyDescent="0.4">
      <c r="A23" s="17" t="str">
        <f>IF(AND(D23="",D23=""),"",$D$3&amp;"_"&amp;ROW()-11-COUNTBLANK($D$12:D23))</f>
        <v>ConvertRate_9</v>
      </c>
      <c r="B23" s="28" t="s">
        <v>48</v>
      </c>
      <c r="C23" s="21" t="s">
        <v>49</v>
      </c>
      <c r="D23" s="27" t="s">
        <v>50</v>
      </c>
      <c r="E23" s="19"/>
      <c r="F23" s="19"/>
      <c r="G23" s="19"/>
      <c r="H23" s="4"/>
      <c r="I23" s="4"/>
      <c r="J23" s="4"/>
      <c r="K23" s="4"/>
      <c r="L23" s="4"/>
      <c r="M23" s="4"/>
      <c r="N23" s="4"/>
      <c r="O23" s="4"/>
      <c r="P23" s="4"/>
      <c r="Q23" s="20" t="str">
        <f t="shared" si="0"/>
        <v/>
      </c>
      <c r="R23" s="5"/>
      <c r="S23" s="2"/>
    </row>
    <row r="24" spans="1:19" outlineLevel="1" x14ac:dyDescent="0.4">
      <c r="A24" s="17" t="str">
        <f>IF(AND(D24="",D24=""),"",$D$3&amp;"_"&amp;ROW()-11-COUNTBLANK($D$12:D24))</f>
        <v>ConvertRate_10</v>
      </c>
      <c r="B24" s="29"/>
      <c r="C24" s="21" t="s">
        <v>51</v>
      </c>
      <c r="D24" s="27" t="s">
        <v>52</v>
      </c>
      <c r="E24" s="19"/>
      <c r="F24" s="19"/>
      <c r="G24" s="19"/>
      <c r="H24" s="4"/>
      <c r="I24" s="4"/>
      <c r="J24" s="4"/>
      <c r="K24" s="4"/>
      <c r="L24" s="4"/>
      <c r="M24" s="4"/>
      <c r="N24" s="4"/>
      <c r="O24" s="4"/>
      <c r="P24" s="4"/>
      <c r="Q24" s="20" t="str">
        <f t="shared" si="0"/>
        <v/>
      </c>
      <c r="R24" s="5"/>
      <c r="S24" s="2"/>
    </row>
    <row r="25" spans="1:19" outlineLevel="1" x14ac:dyDescent="0.4">
      <c r="A25" s="17" t="str">
        <f>IF(AND(D25="",D25=""),"",$D$3&amp;"_"&amp;ROW()-11-COUNTBLANK($D$12:D25))</f>
        <v>ConvertRate_11</v>
      </c>
      <c r="B25" s="29"/>
      <c r="C25" s="21" t="s">
        <v>53</v>
      </c>
      <c r="D25" s="27" t="s">
        <v>52</v>
      </c>
      <c r="E25" s="19"/>
      <c r="F25" s="19"/>
      <c r="G25" s="19"/>
      <c r="H25" s="4"/>
      <c r="I25" s="4"/>
      <c r="J25" s="4"/>
      <c r="K25" s="4"/>
      <c r="L25" s="4"/>
      <c r="M25" s="4"/>
      <c r="N25" s="4"/>
      <c r="O25" s="4"/>
      <c r="P25" s="4"/>
      <c r="Q25" s="20" t="str">
        <f t="shared" si="0"/>
        <v/>
      </c>
      <c r="R25" s="5"/>
      <c r="S25" s="2"/>
    </row>
    <row r="26" spans="1:19" outlineLevel="1" x14ac:dyDescent="0.4">
      <c r="A26" s="17" t="str">
        <f>IF(AND(D26="",D26=""),"",$D$3&amp;"_"&amp;ROW()-11-COUNTBLANK($D$12:D26))</f>
        <v>ConvertRate_12</v>
      </c>
      <c r="B26" s="30"/>
      <c r="C26" s="21" t="s">
        <v>54</v>
      </c>
      <c r="D26" s="27" t="s">
        <v>50</v>
      </c>
      <c r="E26" s="19"/>
      <c r="F26" s="19"/>
      <c r="G26" s="19"/>
      <c r="H26" s="4"/>
      <c r="I26" s="4"/>
      <c r="J26" s="4"/>
      <c r="K26" s="4"/>
      <c r="L26" s="4"/>
      <c r="M26" s="4"/>
      <c r="N26" s="4"/>
      <c r="O26" s="4"/>
      <c r="P26" s="4"/>
      <c r="Q26" s="20"/>
      <c r="R26" s="5"/>
      <c r="S26" s="2"/>
    </row>
    <row r="27" spans="1:19" outlineLevel="1" x14ac:dyDescent="0.4">
      <c r="A27" s="17" t="str">
        <f>IF(AND(D27="",D27=""),"",$D$3&amp;"_"&amp;ROW()-11-COUNTBLANK($D$12:D27))</f>
        <v>ConvertRate_13</v>
      </c>
      <c r="B27" s="26" t="s">
        <v>55</v>
      </c>
      <c r="C27" s="21" t="s">
        <v>56</v>
      </c>
      <c r="D27" s="27" t="s">
        <v>50</v>
      </c>
      <c r="E27" s="19"/>
      <c r="F27" s="19"/>
      <c r="G27" s="19"/>
      <c r="H27" s="4"/>
      <c r="I27" s="4"/>
      <c r="J27" s="4"/>
      <c r="K27" s="4"/>
      <c r="L27" s="4"/>
      <c r="M27" s="4"/>
      <c r="N27" s="4"/>
      <c r="O27" s="4"/>
      <c r="P27" s="4"/>
      <c r="Q27" s="20"/>
      <c r="R27" s="5"/>
      <c r="S27" s="2"/>
    </row>
    <row r="28" spans="1:19" outlineLevel="1" x14ac:dyDescent="0.4">
      <c r="A28" s="17" t="str">
        <f>IF(AND(D28="",D28=""),"",$D$3&amp;"_"&amp;ROW()-11-COUNTBLANK($D$12:D28))</f>
        <v>ConvertRate_14</v>
      </c>
      <c r="B28" s="26" t="s">
        <v>57</v>
      </c>
      <c r="C28" s="21"/>
      <c r="D28" s="27" t="s">
        <v>58</v>
      </c>
      <c r="E28" s="19"/>
      <c r="F28" s="19"/>
      <c r="G28" s="19"/>
      <c r="H28" s="4"/>
      <c r="I28" s="4"/>
      <c r="J28" s="4"/>
      <c r="K28" s="4"/>
      <c r="L28" s="4"/>
      <c r="M28" s="4"/>
      <c r="N28" s="4"/>
      <c r="O28" s="4"/>
      <c r="P28" s="4"/>
      <c r="Q28" s="20"/>
      <c r="R28" s="5"/>
      <c r="S28" s="2"/>
    </row>
    <row r="29" spans="1:19" x14ac:dyDescent="0.4">
      <c r="A29" s="17" t="str">
        <f>IF(AND(D29="",D29=""),"",$D$3&amp;"_"&amp;ROW()-11-COUNTBLANK($D$12:D29))</f>
        <v/>
      </c>
      <c r="B29" s="25" t="s">
        <v>59</v>
      </c>
      <c r="C29" s="25"/>
      <c r="D29" s="25"/>
      <c r="E29" s="19"/>
      <c r="F29" s="19"/>
      <c r="G29" s="19"/>
      <c r="H29" s="4"/>
      <c r="I29" s="4"/>
      <c r="J29" s="4"/>
      <c r="K29" s="4"/>
      <c r="L29" s="4"/>
      <c r="M29" s="4"/>
      <c r="N29" s="4"/>
      <c r="O29" s="4"/>
      <c r="P29" s="4"/>
      <c r="Q29" s="20" t="str">
        <f t="shared" si="0"/>
        <v/>
      </c>
      <c r="R29" s="5"/>
      <c r="S29" s="2"/>
    </row>
    <row r="30" spans="1:19" ht="31" outlineLevel="1" x14ac:dyDescent="0.4">
      <c r="A30" s="17" t="str">
        <f>IF(AND(D30="",D30=""),"",$D$3&amp;"_"&amp;ROW()-11-COUNTBLANK($D$12:D30))</f>
        <v>ConvertRate_15</v>
      </c>
      <c r="B30" s="24" t="s">
        <v>42</v>
      </c>
      <c r="C30" s="21" t="s">
        <v>43</v>
      </c>
      <c r="D30" s="24" t="s">
        <v>44</v>
      </c>
      <c r="E30" s="19"/>
      <c r="F30" s="19"/>
      <c r="G30" s="19"/>
      <c r="H30" s="4"/>
      <c r="I30" s="4"/>
      <c r="J30" s="4"/>
      <c r="K30" s="4"/>
      <c r="L30" s="4"/>
      <c r="M30" s="4"/>
      <c r="N30" s="4"/>
      <c r="O30" s="4"/>
      <c r="P30" s="4"/>
      <c r="Q30" s="20"/>
      <c r="R30" s="5"/>
      <c r="S30" s="2"/>
    </row>
    <row r="31" spans="1:19" ht="31" outlineLevel="1" x14ac:dyDescent="0.4">
      <c r="A31" s="17" t="str">
        <f>IF(AND(D31="",D31=""),"",$D$3&amp;"_"&amp;ROW()-11-COUNTBLANK($D$12:D31))</f>
        <v>ConvertRate_16</v>
      </c>
      <c r="B31" s="24" t="s">
        <v>45</v>
      </c>
      <c r="C31" s="21" t="s">
        <v>46</v>
      </c>
      <c r="D31" s="24" t="s">
        <v>60</v>
      </c>
      <c r="E31" s="19"/>
      <c r="F31" s="19"/>
      <c r="G31" s="19"/>
      <c r="H31" s="4"/>
      <c r="I31" s="4"/>
      <c r="J31" s="4"/>
      <c r="K31" s="4"/>
      <c r="L31" s="4"/>
      <c r="M31" s="4"/>
      <c r="N31" s="4"/>
      <c r="O31" s="4"/>
      <c r="P31" s="4"/>
      <c r="Q31" s="20" t="str">
        <f t="shared" si="0"/>
        <v/>
      </c>
      <c r="R31" s="5"/>
      <c r="S31" s="2"/>
    </row>
    <row r="32" spans="1:19" ht="46.5" outlineLevel="1" x14ac:dyDescent="0.4">
      <c r="A32" s="17" t="str">
        <f>IF(AND(D32="",D32=""),"",$D$3&amp;"_"&amp;ROW()-11-COUNTBLANK($D$12:D32))</f>
        <v>ConvertRate_17</v>
      </c>
      <c r="B32" s="24" t="s">
        <v>61</v>
      </c>
      <c r="C32" s="21" t="s">
        <v>62</v>
      </c>
      <c r="D32" s="24" t="s">
        <v>63</v>
      </c>
      <c r="E32" s="19"/>
      <c r="F32" s="19"/>
      <c r="G32" s="19"/>
      <c r="H32" s="4"/>
      <c r="I32" s="4"/>
      <c r="J32" s="4"/>
      <c r="K32" s="4"/>
      <c r="L32" s="4"/>
      <c r="M32" s="4"/>
      <c r="N32" s="4"/>
      <c r="O32" s="4"/>
      <c r="P32" s="4"/>
      <c r="Q32" s="20"/>
      <c r="R32" s="5"/>
      <c r="S32" s="2"/>
    </row>
    <row r="33" spans="1:19" outlineLevel="1" x14ac:dyDescent="0.4">
      <c r="A33" s="17" t="str">
        <f>IF(AND(D33="",D33=""),"",$D$3&amp;"_"&amp;ROW()-11-COUNTBLANK($D$12:D33))</f>
        <v>ConvertRate_18</v>
      </c>
      <c r="B33" s="28" t="s">
        <v>64</v>
      </c>
      <c r="C33" s="21" t="s">
        <v>65</v>
      </c>
      <c r="D33" s="27" t="s">
        <v>66</v>
      </c>
      <c r="E33" s="19"/>
      <c r="F33" s="19"/>
      <c r="G33" s="19"/>
      <c r="H33" s="4"/>
      <c r="I33" s="4"/>
      <c r="J33" s="4"/>
      <c r="K33" s="4"/>
      <c r="L33" s="4"/>
      <c r="M33" s="4"/>
      <c r="N33" s="4"/>
      <c r="O33" s="4"/>
      <c r="P33" s="4"/>
      <c r="Q33" s="20" t="str">
        <f t="shared" si="0"/>
        <v/>
      </c>
      <c r="R33" s="5"/>
      <c r="S33" s="2"/>
    </row>
    <row r="34" spans="1:19" outlineLevel="1" x14ac:dyDescent="0.4">
      <c r="A34" s="17" t="str">
        <f>IF(AND(D34="",D34=""),"",$D$3&amp;"_"&amp;ROW()-11-COUNTBLANK($D$12:D34))</f>
        <v>ConvertRate_19</v>
      </c>
      <c r="B34" s="30"/>
      <c r="C34" s="21" t="s">
        <v>67</v>
      </c>
      <c r="D34" s="27" t="s">
        <v>66</v>
      </c>
      <c r="E34" s="19"/>
      <c r="F34" s="19"/>
      <c r="G34" s="19"/>
      <c r="H34" s="4"/>
      <c r="I34" s="4"/>
      <c r="J34" s="4"/>
      <c r="K34" s="4"/>
      <c r="L34" s="4"/>
      <c r="M34" s="4"/>
      <c r="N34" s="4"/>
      <c r="O34" s="4"/>
      <c r="P34" s="4"/>
      <c r="Q34" s="20" t="str">
        <f t="shared" si="0"/>
        <v/>
      </c>
      <c r="R34" s="5"/>
      <c r="S34" s="2"/>
    </row>
    <row r="35" spans="1:19" x14ac:dyDescent="0.4">
      <c r="A35" s="17" t="str">
        <f>IF(AND(D35="",D35=""),"",$D$3&amp;"_"&amp;ROW()-11-COUNTBLANK($D$12:D35))</f>
        <v/>
      </c>
      <c r="B35" s="25" t="s">
        <v>68</v>
      </c>
      <c r="C35" s="25"/>
      <c r="D35" s="25"/>
      <c r="E35" s="19"/>
      <c r="F35" s="19"/>
      <c r="G35" s="19"/>
      <c r="H35" s="4"/>
      <c r="I35" s="4"/>
      <c r="J35" s="4"/>
      <c r="K35" s="4"/>
      <c r="L35" s="4"/>
      <c r="M35" s="4"/>
      <c r="N35" s="4"/>
      <c r="O35" s="4"/>
      <c r="P35" s="4"/>
      <c r="Q35" s="20" t="str">
        <f t="shared" si="0"/>
        <v/>
      </c>
      <c r="R35" s="5"/>
      <c r="S35" s="2"/>
    </row>
    <row r="36" spans="1:19" ht="31" outlineLevel="1" x14ac:dyDescent="0.4">
      <c r="A36" s="17" t="str">
        <f>IF(AND(D36="",D36=""),"",$D$3&amp;"_"&amp;ROW()-11-COUNTBLANK($D$12:D36))</f>
        <v>ConvertRate_20</v>
      </c>
      <c r="B36" s="24" t="s">
        <v>42</v>
      </c>
      <c r="C36" s="21" t="s">
        <v>43</v>
      </c>
      <c r="D36" s="24" t="s">
        <v>44</v>
      </c>
      <c r="E36" s="19"/>
      <c r="F36" s="19"/>
      <c r="G36" s="19"/>
      <c r="H36" s="4"/>
      <c r="I36" s="4"/>
      <c r="J36" s="4"/>
      <c r="K36" s="4"/>
      <c r="L36" s="4"/>
      <c r="M36" s="4"/>
      <c r="N36" s="4"/>
      <c r="O36" s="4"/>
      <c r="P36" s="4"/>
      <c r="Q36" s="20" t="str">
        <f t="shared" si="0"/>
        <v/>
      </c>
      <c r="R36" s="5"/>
      <c r="S36" s="2"/>
    </row>
    <row r="37" spans="1:19" ht="31" outlineLevel="1" x14ac:dyDescent="0.4">
      <c r="A37" s="17" t="str">
        <f>IF(AND(D37="",D37=""),"",$D$3&amp;"_"&amp;ROW()-11-COUNTBLANK($D$12:D37))</f>
        <v>ConvertRate_21</v>
      </c>
      <c r="B37" s="24" t="s">
        <v>45</v>
      </c>
      <c r="C37" s="21" t="s">
        <v>46</v>
      </c>
      <c r="D37" s="24" t="s">
        <v>60</v>
      </c>
      <c r="E37" s="19"/>
      <c r="F37" s="19"/>
      <c r="G37" s="19"/>
      <c r="H37" s="4"/>
      <c r="I37" s="4"/>
      <c r="J37" s="4"/>
      <c r="K37" s="4"/>
      <c r="L37" s="4"/>
      <c r="M37" s="4"/>
      <c r="N37" s="4"/>
      <c r="O37" s="4"/>
      <c r="P37" s="4"/>
      <c r="Q37" s="20" t="str">
        <f t="shared" si="0"/>
        <v/>
      </c>
      <c r="R37" s="5"/>
      <c r="S37" s="2"/>
    </row>
    <row r="38" spans="1:19" ht="46.5" outlineLevel="1" x14ac:dyDescent="0.4">
      <c r="A38" s="17" t="str">
        <f>IF(AND(D38="",D38=""),"",$D$3&amp;"_"&amp;ROW()-11-COUNTBLANK($D$12:D38))</f>
        <v>ConvertRate_22</v>
      </c>
      <c r="B38" s="24" t="s">
        <v>61</v>
      </c>
      <c r="C38" s="21" t="s">
        <v>62</v>
      </c>
      <c r="D38" s="24" t="s">
        <v>63</v>
      </c>
      <c r="E38" s="19"/>
      <c r="F38" s="19"/>
      <c r="G38" s="19"/>
      <c r="H38" s="4"/>
      <c r="I38" s="4"/>
      <c r="J38" s="4"/>
      <c r="K38" s="4"/>
      <c r="L38" s="4"/>
      <c r="M38" s="4"/>
      <c r="N38" s="4"/>
      <c r="O38" s="4"/>
      <c r="P38" s="4"/>
      <c r="Q38" s="20" t="str">
        <f t="shared" si="0"/>
        <v/>
      </c>
      <c r="R38" s="5"/>
      <c r="S38" s="2"/>
    </row>
    <row r="39" spans="1:19" outlineLevel="1" x14ac:dyDescent="0.4">
      <c r="A39" s="17" t="str">
        <f>IF(AND(D39="",D39=""),"",$D$3&amp;"_"&amp;ROW()-11-COUNTBLANK($D$12:D39))</f>
        <v>ConvertRate_23</v>
      </c>
      <c r="B39" s="28" t="s">
        <v>64</v>
      </c>
      <c r="C39" s="21" t="s">
        <v>65</v>
      </c>
      <c r="D39" s="27" t="s">
        <v>66</v>
      </c>
      <c r="E39" s="19"/>
      <c r="F39" s="19"/>
      <c r="G39" s="19"/>
      <c r="H39" s="4"/>
      <c r="I39" s="4"/>
      <c r="J39" s="4"/>
      <c r="K39" s="4"/>
      <c r="L39" s="4"/>
      <c r="M39" s="4"/>
      <c r="N39" s="4"/>
      <c r="O39" s="4"/>
      <c r="P39" s="4"/>
      <c r="Q39" s="20"/>
      <c r="R39" s="5"/>
      <c r="S39" s="2"/>
    </row>
    <row r="40" spans="1:19" outlineLevel="1" x14ac:dyDescent="0.4">
      <c r="A40" s="17" t="str">
        <f>IF(AND(D40="",D40=""),"",$D$3&amp;"_"&amp;ROW()-11-COUNTBLANK($D$12:D40))</f>
        <v>ConvertRate_24</v>
      </c>
      <c r="B40" s="30"/>
      <c r="C40" s="21" t="s">
        <v>67</v>
      </c>
      <c r="D40" s="27" t="s">
        <v>66</v>
      </c>
      <c r="E40" s="19"/>
      <c r="F40" s="19"/>
      <c r="G40" s="19"/>
      <c r="H40" s="4"/>
      <c r="I40" s="4"/>
      <c r="J40" s="4"/>
      <c r="K40" s="4"/>
      <c r="L40" s="4"/>
      <c r="M40" s="4"/>
      <c r="N40" s="4"/>
      <c r="O40" s="4"/>
      <c r="P40" s="4"/>
      <c r="Q40" s="20"/>
      <c r="R40" s="5"/>
      <c r="S40" s="2"/>
    </row>
    <row r="41" spans="1:19" x14ac:dyDescent="0.4">
      <c r="A41" s="17" t="str">
        <f>IF(AND(D41="",D41=""),"",$D$3&amp;"_"&amp;ROW()-11-COUNTBLANK($D$12:D41))</f>
        <v/>
      </c>
      <c r="B41" s="25" t="s">
        <v>69</v>
      </c>
      <c r="C41" s="25"/>
      <c r="D41" s="25"/>
      <c r="E41" s="19"/>
      <c r="F41" s="19"/>
      <c r="G41" s="19"/>
      <c r="H41" s="4"/>
      <c r="I41" s="4"/>
      <c r="J41" s="4"/>
      <c r="K41" s="4"/>
      <c r="L41" s="4"/>
      <c r="M41" s="4"/>
      <c r="N41" s="4"/>
      <c r="O41" s="4"/>
      <c r="P41" s="4"/>
      <c r="Q41" s="20" t="str">
        <f t="shared" si="0"/>
        <v/>
      </c>
      <c r="R41" s="5"/>
      <c r="S41" s="2"/>
    </row>
    <row r="42" spans="1:19" ht="31" outlineLevel="1" x14ac:dyDescent="0.4">
      <c r="A42" s="17" t="str">
        <f>IF(AND(D42="",D42=""),"",$D$3&amp;"_"&amp;ROW()-11-COUNTBLANK($D$12:D42))</f>
        <v>ConvertRate_25</v>
      </c>
      <c r="B42" s="24" t="s">
        <v>70</v>
      </c>
      <c r="C42" s="21" t="s">
        <v>71</v>
      </c>
      <c r="D42" s="27" t="s">
        <v>72</v>
      </c>
      <c r="E42" s="19"/>
      <c r="F42" s="19"/>
      <c r="G42" s="19"/>
      <c r="H42" s="4"/>
      <c r="I42" s="4"/>
      <c r="J42" s="4"/>
      <c r="K42" s="4"/>
      <c r="L42" s="4"/>
      <c r="M42" s="4"/>
      <c r="N42" s="4"/>
      <c r="O42" s="4"/>
      <c r="P42" s="4"/>
      <c r="Q42" s="20" t="str">
        <f t="shared" si="0"/>
        <v/>
      </c>
      <c r="R42" s="5"/>
      <c r="S42" s="2"/>
    </row>
    <row r="43" spans="1:19" x14ac:dyDescent="0.4">
      <c r="A43" s="17" t="str">
        <f>IF(AND(D43="",D43=""),"",$D$3&amp;"_"&amp;ROW()-11-COUNTBLANK($D$12:D43))</f>
        <v/>
      </c>
      <c r="B43" s="25" t="s">
        <v>73</v>
      </c>
      <c r="C43" s="25"/>
      <c r="D43" s="25"/>
      <c r="E43" s="19"/>
      <c r="F43" s="19"/>
      <c r="G43" s="19"/>
      <c r="H43" s="4"/>
      <c r="I43" s="4"/>
      <c r="J43" s="4"/>
      <c r="K43" s="4"/>
      <c r="L43" s="4"/>
      <c r="M43" s="4"/>
      <c r="N43" s="4"/>
      <c r="O43" s="4"/>
      <c r="P43" s="4"/>
      <c r="Q43" s="20" t="str">
        <f t="shared" si="0"/>
        <v/>
      </c>
      <c r="R43" s="5"/>
      <c r="S43" s="2"/>
    </row>
    <row r="44" spans="1:19" ht="31" outlineLevel="1" x14ac:dyDescent="0.4">
      <c r="A44" s="17" t="str">
        <f>IF(AND(D44="",D44=""),"",$D$3&amp;"_"&amp;ROW()-11-COUNTBLANK($D$12:D44))</f>
        <v>ConvertRate_26</v>
      </c>
      <c r="B44" s="24" t="s">
        <v>70</v>
      </c>
      <c r="C44" s="21" t="s">
        <v>71</v>
      </c>
      <c r="D44" s="27" t="s">
        <v>72</v>
      </c>
      <c r="E44" s="19"/>
      <c r="F44" s="19"/>
      <c r="G44" s="19"/>
      <c r="H44" s="4"/>
      <c r="I44" s="4"/>
      <c r="J44" s="4"/>
      <c r="K44" s="4"/>
      <c r="L44" s="4"/>
      <c r="M44" s="4"/>
      <c r="N44" s="4"/>
      <c r="O44" s="4"/>
      <c r="P44" s="4"/>
      <c r="Q44" s="20" t="str">
        <f t="shared" si="0"/>
        <v/>
      </c>
      <c r="R44" s="5"/>
      <c r="S44" s="2"/>
    </row>
    <row r="45" spans="1:19" x14ac:dyDescent="0.4">
      <c r="A45" s="17" t="str">
        <f>IF(AND(D45="",D45=""),"",$D$3&amp;"_"&amp;ROW()-11-COUNTBLANK($D$12:D45))</f>
        <v/>
      </c>
      <c r="B45" s="18" t="s">
        <v>74</v>
      </c>
      <c r="C45" s="18"/>
      <c r="D45" s="18"/>
      <c r="E45" s="19"/>
      <c r="F45" s="19"/>
      <c r="G45" s="19"/>
      <c r="H45" s="4"/>
      <c r="I45" s="4"/>
      <c r="J45" s="4"/>
      <c r="K45" s="4"/>
      <c r="L45" s="4"/>
      <c r="M45" s="4"/>
      <c r="N45" s="4"/>
      <c r="O45" s="4"/>
      <c r="P45" s="4"/>
      <c r="Q45" s="20" t="str">
        <f t="shared" si="0"/>
        <v/>
      </c>
      <c r="R45" s="5"/>
      <c r="S45" s="2"/>
    </row>
    <row r="46" spans="1:19" x14ac:dyDescent="0.4">
      <c r="A46" s="17" t="str">
        <f>IF(AND(D46="",D46=""),"",$D$3&amp;"_"&amp;ROW()-11-COUNTBLANK($D$12:D46))</f>
        <v/>
      </c>
      <c r="B46" s="33" t="s">
        <v>75</v>
      </c>
      <c r="C46" s="33"/>
      <c r="D46" s="33"/>
      <c r="E46" s="19"/>
      <c r="F46" s="19"/>
      <c r="G46" s="19"/>
      <c r="H46" s="4"/>
      <c r="I46" s="4"/>
      <c r="J46" s="4"/>
      <c r="K46" s="4"/>
      <c r="L46" s="4"/>
      <c r="M46" s="4"/>
      <c r="N46" s="4"/>
      <c r="O46" s="4"/>
      <c r="P46" s="4"/>
      <c r="Q46" s="20" t="str">
        <f t="shared" si="0"/>
        <v/>
      </c>
      <c r="R46" s="5"/>
      <c r="S46" s="2"/>
    </row>
    <row r="47" spans="1:19" ht="46.5" outlineLevel="1" x14ac:dyDescent="0.4">
      <c r="A47" s="17" t="str">
        <f>IF(AND(D47="",D47=""),"",$D$3&amp;"_"&amp;ROW()-11-COUNTBLANK($D$12:D47))</f>
        <v>ConvertRate_27</v>
      </c>
      <c r="B47" s="34" t="s">
        <v>76</v>
      </c>
      <c r="C47" s="21" t="s">
        <v>77</v>
      </c>
      <c r="D47" s="34" t="s">
        <v>78</v>
      </c>
      <c r="E47" s="19"/>
      <c r="F47" s="19"/>
      <c r="G47" s="19"/>
      <c r="H47" s="4"/>
      <c r="I47" s="4"/>
      <c r="J47" s="4"/>
      <c r="K47" s="4"/>
      <c r="L47" s="4"/>
      <c r="M47" s="4"/>
      <c r="N47" s="4"/>
      <c r="O47" s="4"/>
      <c r="P47" s="4"/>
      <c r="Q47" s="20" t="str">
        <f t="shared" si="0"/>
        <v/>
      </c>
      <c r="R47" s="5"/>
      <c r="S47" s="2"/>
    </row>
    <row r="48" spans="1:19" ht="62" outlineLevel="1" x14ac:dyDescent="0.4">
      <c r="A48" s="17" t="str">
        <f>IF(AND(D48="",D48=""),"",$D$3&amp;"_"&amp;ROW()-11-COUNTBLANK($D$12:D48))</f>
        <v>ConvertRate_28</v>
      </c>
      <c r="B48" s="34" t="s">
        <v>79</v>
      </c>
      <c r="C48" s="21" t="s">
        <v>80</v>
      </c>
      <c r="D48" s="34" t="s">
        <v>78</v>
      </c>
      <c r="E48" s="19"/>
      <c r="F48" s="19"/>
      <c r="G48" s="19"/>
      <c r="H48" s="4"/>
      <c r="I48" s="4"/>
      <c r="J48" s="4"/>
      <c r="K48" s="4"/>
      <c r="L48" s="4"/>
      <c r="M48" s="4"/>
      <c r="N48" s="4"/>
      <c r="O48" s="4"/>
      <c r="P48" s="4"/>
      <c r="Q48" s="20" t="str">
        <f t="shared" si="0"/>
        <v/>
      </c>
      <c r="R48" s="5"/>
      <c r="S48" s="2"/>
    </row>
    <row r="49" spans="1:19" ht="62" outlineLevel="1" x14ac:dyDescent="0.4">
      <c r="A49" s="17" t="str">
        <f>IF(AND(D49="",D49=""),"",$D$3&amp;"_"&amp;ROW()-11-COUNTBLANK($D$12:D49))</f>
        <v>ConvertRate_29</v>
      </c>
      <c r="B49" s="34" t="s">
        <v>81</v>
      </c>
      <c r="C49" s="21" t="s">
        <v>82</v>
      </c>
      <c r="D49" s="34" t="s">
        <v>78</v>
      </c>
      <c r="E49" s="19"/>
      <c r="F49" s="19"/>
      <c r="G49" s="19"/>
      <c r="H49" s="4"/>
      <c r="I49" s="4"/>
      <c r="J49" s="4"/>
      <c r="K49" s="4"/>
      <c r="L49" s="4"/>
      <c r="M49" s="4"/>
      <c r="N49" s="4"/>
      <c r="O49" s="4"/>
      <c r="P49" s="4"/>
      <c r="Q49" s="20" t="str">
        <f t="shared" si="0"/>
        <v/>
      </c>
      <c r="R49" s="5"/>
      <c r="S49" s="2"/>
    </row>
    <row r="50" spans="1:19" x14ac:dyDescent="0.4">
      <c r="A50" s="17" t="str">
        <f>IF(AND(D50="",D50=""),"",$D$3&amp;"_"&amp;ROW()-11-COUNTBLANK($D$12:D50))</f>
        <v/>
      </c>
      <c r="B50" s="33" t="s">
        <v>83</v>
      </c>
      <c r="C50" s="33"/>
      <c r="D50" s="33"/>
      <c r="E50" s="19"/>
      <c r="F50" s="19"/>
      <c r="G50" s="19"/>
      <c r="H50" s="4"/>
      <c r="I50" s="4"/>
      <c r="J50" s="4"/>
      <c r="K50" s="4"/>
      <c r="L50" s="4"/>
      <c r="M50" s="4"/>
      <c r="N50" s="4"/>
      <c r="O50" s="4"/>
      <c r="P50" s="4"/>
      <c r="Q50" s="20" t="str">
        <f t="shared" si="0"/>
        <v/>
      </c>
      <c r="R50" s="5"/>
      <c r="S50" s="2"/>
    </row>
    <row r="51" spans="1:19" ht="46.5" outlineLevel="1" x14ac:dyDescent="0.4">
      <c r="A51" s="17" t="str">
        <f>IF(AND(D51="",D51=""),"",$D$3&amp;"_"&amp;ROW()-11-COUNTBLANK($D$12:D51))</f>
        <v>ConvertRate_30</v>
      </c>
      <c r="B51" s="34" t="s">
        <v>84</v>
      </c>
      <c r="C51" s="21" t="s">
        <v>85</v>
      </c>
      <c r="D51" s="34" t="s">
        <v>86</v>
      </c>
      <c r="E51" s="19"/>
      <c r="F51" s="19"/>
      <c r="G51" s="19"/>
      <c r="H51" s="4"/>
      <c r="I51" s="4"/>
      <c r="J51" s="4"/>
      <c r="K51" s="4"/>
      <c r="L51" s="4"/>
      <c r="M51" s="4"/>
      <c r="N51" s="4"/>
      <c r="O51" s="4"/>
      <c r="P51" s="4"/>
      <c r="Q51" s="20" t="str">
        <f t="shared" si="0"/>
        <v/>
      </c>
      <c r="R51" s="5"/>
      <c r="S51" s="2"/>
    </row>
    <row r="52" spans="1:19" ht="31" outlineLevel="1" x14ac:dyDescent="0.4">
      <c r="A52" s="17" t="str">
        <f>IF(AND(D52="",D52=""),"",$D$3&amp;"_"&amp;ROW()-11-COUNTBLANK($D$12:D52))</f>
        <v>ConvertRate_31</v>
      </c>
      <c r="B52" s="34" t="s">
        <v>87</v>
      </c>
      <c r="C52" s="21" t="s">
        <v>88</v>
      </c>
      <c r="D52" s="34" t="s">
        <v>89</v>
      </c>
      <c r="E52" s="19"/>
      <c r="F52" s="19"/>
      <c r="G52" s="19"/>
      <c r="H52" s="4"/>
      <c r="I52" s="4"/>
      <c r="J52" s="4"/>
      <c r="K52" s="4"/>
      <c r="L52" s="4"/>
      <c r="M52" s="4"/>
      <c r="N52" s="4"/>
      <c r="O52" s="4"/>
      <c r="P52" s="4"/>
      <c r="Q52" s="20" t="str">
        <f t="shared" si="0"/>
        <v/>
      </c>
      <c r="R52" s="5"/>
      <c r="S52" s="2"/>
    </row>
    <row r="53" spans="1:19" ht="31" outlineLevel="1" x14ac:dyDescent="0.4">
      <c r="A53" s="17" t="str">
        <f>IF(AND(D53="",D53=""),"",$D$3&amp;"_"&amp;ROW()-11-COUNTBLANK($D$12:D53))</f>
        <v>ConvertRate_32</v>
      </c>
      <c r="B53" s="34" t="s">
        <v>90</v>
      </c>
      <c r="C53" s="21" t="s">
        <v>91</v>
      </c>
      <c r="D53" s="34" t="s">
        <v>86</v>
      </c>
      <c r="E53" s="19"/>
      <c r="F53" s="19"/>
      <c r="G53" s="19"/>
      <c r="H53" s="4"/>
      <c r="I53" s="4"/>
      <c r="J53" s="4"/>
      <c r="K53" s="4"/>
      <c r="L53" s="4"/>
      <c r="M53" s="4"/>
      <c r="N53" s="4"/>
      <c r="O53" s="4"/>
      <c r="P53" s="4"/>
      <c r="Q53" s="20" t="str">
        <f t="shared" si="0"/>
        <v/>
      </c>
      <c r="R53" s="5"/>
      <c r="S53" s="2"/>
    </row>
    <row r="54" spans="1:19" ht="31" outlineLevel="1" x14ac:dyDescent="0.4">
      <c r="A54" s="17" t="str">
        <f>IF(AND(D54="",D54=""),"",$D$3&amp;"_"&amp;ROW()-11-COUNTBLANK($D$12:D54))</f>
        <v>ConvertRate_33</v>
      </c>
      <c r="B54" s="34" t="s">
        <v>92</v>
      </c>
      <c r="C54" s="21" t="s">
        <v>93</v>
      </c>
      <c r="D54" s="34" t="s">
        <v>86</v>
      </c>
      <c r="E54" s="19"/>
      <c r="F54" s="19"/>
      <c r="G54" s="19"/>
      <c r="H54" s="4"/>
      <c r="I54" s="4"/>
      <c r="J54" s="4"/>
      <c r="K54" s="4"/>
      <c r="L54" s="4"/>
      <c r="M54" s="4"/>
      <c r="N54" s="4"/>
      <c r="O54" s="4"/>
      <c r="P54" s="4"/>
      <c r="Q54" s="20" t="str">
        <f t="shared" si="0"/>
        <v/>
      </c>
      <c r="R54" s="5"/>
      <c r="S54" s="2"/>
    </row>
    <row r="55" spans="1:19" ht="31" outlineLevel="1" x14ac:dyDescent="0.4">
      <c r="A55" s="17" t="str">
        <f>IF(AND(D55="",D55=""),"",$D$3&amp;"_"&amp;ROW()-11-COUNTBLANK($D$12:D55))</f>
        <v>ConvertRate_34</v>
      </c>
      <c r="B55" s="35" t="s">
        <v>94</v>
      </c>
      <c r="C55" s="21" t="s">
        <v>95</v>
      </c>
      <c r="D55" s="34" t="s">
        <v>86</v>
      </c>
      <c r="E55" s="19"/>
      <c r="F55" s="19"/>
      <c r="G55" s="19"/>
      <c r="H55" s="4"/>
      <c r="I55" s="4"/>
      <c r="J55" s="4"/>
      <c r="K55" s="4"/>
      <c r="L55" s="4"/>
      <c r="M55" s="4"/>
      <c r="N55" s="4"/>
      <c r="O55" s="4"/>
      <c r="P55" s="4"/>
      <c r="Q55" s="20" t="str">
        <f t="shared" si="0"/>
        <v/>
      </c>
      <c r="R55" s="5"/>
      <c r="S55" s="2"/>
    </row>
    <row r="56" spans="1:19" ht="31" x14ac:dyDescent="0.4">
      <c r="A56" s="17" t="str">
        <f>IF(AND(D56="",D56=""),"",$D$3&amp;"_"&amp;ROW()-11-COUNTBLANK($D$12:D56))</f>
        <v>ConvertRate_35</v>
      </c>
      <c r="B56" s="36"/>
      <c r="C56" s="21" t="s">
        <v>96</v>
      </c>
      <c r="D56" s="34" t="s">
        <v>86</v>
      </c>
      <c r="E56" s="19"/>
      <c r="F56" s="19"/>
      <c r="G56" s="19"/>
      <c r="H56" s="4"/>
      <c r="I56" s="4"/>
      <c r="J56" s="4"/>
      <c r="K56" s="4"/>
      <c r="L56" s="4"/>
      <c r="M56" s="4"/>
      <c r="N56" s="4"/>
      <c r="O56" s="4"/>
      <c r="P56" s="4"/>
      <c r="Q56" s="20" t="str">
        <f t="shared" si="0"/>
        <v/>
      </c>
      <c r="R56" s="5"/>
      <c r="S56" s="2"/>
    </row>
    <row r="57" spans="1:19" ht="31" x14ac:dyDescent="0.4">
      <c r="A57" s="17" t="str">
        <f>IF(AND(D57="",D57=""),"",$D$3&amp;"_"&amp;ROW()-11-COUNTBLANK($D$12:D57))</f>
        <v>ConvertRate_36</v>
      </c>
      <c r="B57" s="36"/>
      <c r="C57" s="21" t="s">
        <v>97</v>
      </c>
      <c r="D57" s="34" t="s">
        <v>86</v>
      </c>
      <c r="E57" s="19"/>
      <c r="F57" s="19"/>
      <c r="G57" s="19"/>
      <c r="H57" s="4"/>
      <c r="I57" s="4"/>
      <c r="J57" s="4"/>
      <c r="K57" s="4"/>
      <c r="L57" s="4"/>
      <c r="M57" s="4"/>
      <c r="N57" s="4"/>
      <c r="O57" s="4"/>
      <c r="P57" s="4"/>
      <c r="Q57" s="20" t="str">
        <f t="shared" si="0"/>
        <v/>
      </c>
      <c r="R57" s="5"/>
      <c r="S57" s="2"/>
    </row>
    <row r="58" spans="1:19" ht="31" x14ac:dyDescent="0.4">
      <c r="A58" s="17" t="str">
        <f>IF(AND(D58="",D58=""),"",$D$3&amp;"_"&amp;ROW()-11-COUNTBLANK($D$12:D58))</f>
        <v>ConvertRate_37</v>
      </c>
      <c r="B58" s="36"/>
      <c r="C58" s="21" t="s">
        <v>98</v>
      </c>
      <c r="D58" s="34" t="s">
        <v>86</v>
      </c>
      <c r="E58" s="19"/>
      <c r="F58" s="19"/>
      <c r="G58" s="19"/>
      <c r="H58" s="4"/>
      <c r="I58" s="4"/>
      <c r="J58" s="4"/>
      <c r="K58" s="4"/>
      <c r="L58" s="4"/>
      <c r="M58" s="4"/>
      <c r="N58" s="4"/>
      <c r="O58" s="4"/>
      <c r="P58" s="4"/>
      <c r="Q58" s="20" t="str">
        <f t="shared" si="0"/>
        <v/>
      </c>
      <c r="R58" s="5"/>
      <c r="S58" s="2"/>
    </row>
    <row r="59" spans="1:19" ht="31" x14ac:dyDescent="0.4">
      <c r="A59" s="17" t="str">
        <f>IF(AND(D59="",D59=""),"",$D$3&amp;"_"&amp;ROW()-11-COUNTBLANK($D$12:D59))</f>
        <v>ConvertRate_38</v>
      </c>
      <c r="B59" s="36"/>
      <c r="C59" s="21" t="s">
        <v>99</v>
      </c>
      <c r="D59" s="34" t="s">
        <v>86</v>
      </c>
      <c r="E59" s="19"/>
      <c r="F59" s="19"/>
      <c r="G59" s="19"/>
      <c r="H59" s="4"/>
      <c r="I59" s="4"/>
      <c r="J59" s="4"/>
      <c r="K59" s="4"/>
      <c r="L59" s="4"/>
      <c r="M59" s="4"/>
      <c r="N59" s="4"/>
      <c r="O59" s="4"/>
      <c r="P59" s="4"/>
      <c r="Q59" s="20" t="str">
        <f t="shared" si="0"/>
        <v/>
      </c>
      <c r="R59" s="5"/>
      <c r="S59" s="2"/>
    </row>
    <row r="60" spans="1:19" ht="31" x14ac:dyDescent="0.4">
      <c r="A60" s="17" t="str">
        <f>IF(AND(D60="",D60=""),"",$D$3&amp;"_"&amp;ROW()-11-COUNTBLANK($D$12:D60))</f>
        <v>ConvertRate_39</v>
      </c>
      <c r="B60" s="36"/>
      <c r="C60" s="21" t="s">
        <v>100</v>
      </c>
      <c r="D60" s="34" t="s">
        <v>86</v>
      </c>
      <c r="E60" s="19"/>
      <c r="F60" s="19"/>
      <c r="G60" s="19"/>
      <c r="H60" s="4"/>
      <c r="I60" s="4"/>
      <c r="J60" s="4"/>
      <c r="K60" s="4"/>
      <c r="L60" s="4"/>
      <c r="M60" s="4"/>
      <c r="N60" s="4"/>
      <c r="O60" s="4"/>
      <c r="P60" s="4"/>
      <c r="Q60" s="20" t="str">
        <f t="shared" ref="Q60:Q123" si="1">IF(OR(IF(G60="",IF(F60="",IF(E60="","",E60),F60),G60)="F",IF(J60="",IF(I60="",IF(H60="","",H60),I60),J60)="F",IF(M60="",IF(L60="",IF(K60="","",K60),L60),M60)="F",IF(P60="",IF(O60="",IF(N60="","",N60),O60),P60)="F")=TRUE,"F",IF(OR(IF(G60="",IF(F60="",IF(E60="","",E60),F60),G60)="PE",IF(J60="",IF(I60="",IF(H60="","",H60),I60),J60)="PE",IF(M60="",IF(L60="",IF(K60="","",K60),L60),M60)="PE",IF(P60="",IF(O60="",IF(N60="","",N60),O60),P60)="PE")=TRUE,"PE",IF(AND(IF(G60="",IF(F60="",IF(E60="","",E60),F60),G60)="",IF(J60="",IF(I60="",IF(H60="","",H60),I60),J60)="",IF(M60="",IF(L60="",IF(K60="","",K60),L60),M60)="",IF(P60="",IF(O60="",IF(N60="","",N60),O60),P60)="")=TRUE,"","P")))</f>
        <v/>
      </c>
      <c r="R60" s="5"/>
      <c r="S60" s="2"/>
    </row>
    <row r="61" spans="1:19" ht="31" x14ac:dyDescent="0.4">
      <c r="A61" s="17" t="str">
        <f>IF(AND(D61="",D61=""),"",$D$3&amp;"_"&amp;ROW()-11-COUNTBLANK($D$12:D61))</f>
        <v>ConvertRate_40</v>
      </c>
      <c r="B61" s="36"/>
      <c r="C61" s="21" t="s">
        <v>101</v>
      </c>
      <c r="D61" s="34" t="s">
        <v>86</v>
      </c>
      <c r="E61" s="19"/>
      <c r="F61" s="19"/>
      <c r="G61" s="19"/>
      <c r="H61" s="4"/>
      <c r="I61" s="4"/>
      <c r="J61" s="4"/>
      <c r="K61" s="4"/>
      <c r="L61" s="4"/>
      <c r="M61" s="4"/>
      <c r="N61" s="4"/>
      <c r="O61" s="4"/>
      <c r="P61" s="4"/>
      <c r="Q61" s="20" t="str">
        <f t="shared" si="1"/>
        <v/>
      </c>
      <c r="R61" s="5"/>
      <c r="S61" s="2"/>
    </row>
    <row r="62" spans="1:19" ht="31" x14ac:dyDescent="0.4">
      <c r="A62" s="17" t="str">
        <f>IF(AND(D62="",D62=""),"",$D$3&amp;"_"&amp;ROW()-11-COUNTBLANK($D$12:D62))</f>
        <v>ConvertRate_41</v>
      </c>
      <c r="B62" s="36"/>
      <c r="C62" s="21" t="s">
        <v>102</v>
      </c>
      <c r="D62" s="34" t="s">
        <v>86</v>
      </c>
      <c r="E62" s="19"/>
      <c r="F62" s="19"/>
      <c r="G62" s="19"/>
      <c r="H62" s="4"/>
      <c r="I62" s="4"/>
      <c r="J62" s="4"/>
      <c r="K62" s="4"/>
      <c r="L62" s="4"/>
      <c r="M62" s="4"/>
      <c r="N62" s="4"/>
      <c r="O62" s="4"/>
      <c r="P62" s="4"/>
      <c r="Q62" s="20" t="str">
        <f t="shared" si="1"/>
        <v/>
      </c>
      <c r="R62" s="5"/>
      <c r="S62" s="2"/>
    </row>
    <row r="63" spans="1:19" ht="31" x14ac:dyDescent="0.4">
      <c r="A63" s="17" t="str">
        <f>IF(AND(D63="",D63=""),"",$D$3&amp;"_"&amp;ROW()-11-COUNTBLANK($D$12:D63))</f>
        <v>ConvertRate_42</v>
      </c>
      <c r="B63" s="37"/>
      <c r="C63" s="21" t="s">
        <v>103</v>
      </c>
      <c r="D63" s="34" t="s">
        <v>86</v>
      </c>
      <c r="E63" s="19"/>
      <c r="F63" s="19"/>
      <c r="G63" s="19"/>
      <c r="H63" s="4"/>
      <c r="I63" s="4"/>
      <c r="J63" s="4"/>
      <c r="K63" s="4"/>
      <c r="L63" s="4"/>
      <c r="M63" s="4"/>
      <c r="N63" s="4"/>
      <c r="O63" s="4"/>
      <c r="P63" s="4"/>
      <c r="Q63" s="20" t="str">
        <f t="shared" si="1"/>
        <v/>
      </c>
      <c r="R63" s="5"/>
      <c r="S63" s="2"/>
    </row>
    <row r="64" spans="1:19" x14ac:dyDescent="0.4">
      <c r="A64" s="17" t="str">
        <f>IF(AND(D64="",D64=""),"",$D$3&amp;"_"&amp;ROW()-11-COUNTBLANK($D$12:D64))</f>
        <v>ConvertRate_43</v>
      </c>
      <c r="B64" s="38" t="s">
        <v>104</v>
      </c>
      <c r="C64" s="21" t="s">
        <v>105</v>
      </c>
      <c r="D64" s="27" t="s">
        <v>106</v>
      </c>
      <c r="E64" s="19"/>
      <c r="F64" s="19"/>
      <c r="G64" s="19"/>
      <c r="H64" s="4"/>
      <c r="I64" s="4"/>
      <c r="J64" s="4"/>
      <c r="K64" s="4"/>
      <c r="L64" s="4"/>
      <c r="M64" s="4"/>
      <c r="N64" s="4"/>
      <c r="O64" s="4"/>
      <c r="P64" s="4"/>
      <c r="Q64" s="20" t="str">
        <f t="shared" si="1"/>
        <v/>
      </c>
      <c r="R64" s="5"/>
      <c r="S64" s="2"/>
    </row>
    <row r="65" spans="1:19" ht="31" x14ac:dyDescent="0.4">
      <c r="A65" s="17" t="str">
        <f>IF(AND(D65="",D65=""),"",$D$3&amp;"_"&amp;ROW()-11-COUNTBLANK($D$12:D65))</f>
        <v>ConvertRate_44</v>
      </c>
      <c r="B65" s="21" t="s">
        <v>107</v>
      </c>
      <c r="C65" s="21" t="s">
        <v>107</v>
      </c>
      <c r="D65" s="27" t="s">
        <v>108</v>
      </c>
      <c r="E65" s="19"/>
      <c r="F65" s="19"/>
      <c r="G65" s="19"/>
      <c r="H65" s="4"/>
      <c r="I65" s="4"/>
      <c r="J65" s="4"/>
      <c r="K65" s="4"/>
      <c r="L65" s="4"/>
      <c r="M65" s="4"/>
      <c r="N65" s="4"/>
      <c r="O65" s="4"/>
      <c r="P65" s="4"/>
      <c r="Q65" s="20" t="str">
        <f t="shared" si="1"/>
        <v/>
      </c>
      <c r="R65" s="5"/>
      <c r="S65" s="2"/>
    </row>
    <row r="66" spans="1:19" ht="31" x14ac:dyDescent="0.4">
      <c r="A66" s="17" t="str">
        <f>IF(AND(D66="",D66=""),"",$D$3&amp;"_"&amp;ROW()-11-COUNTBLANK($D$12:D66))</f>
        <v>ConvertRate_45</v>
      </c>
      <c r="B66" s="21" t="s">
        <v>109</v>
      </c>
      <c r="C66" s="21" t="s">
        <v>109</v>
      </c>
      <c r="D66" s="27" t="s">
        <v>110</v>
      </c>
      <c r="E66" s="19"/>
      <c r="F66" s="19"/>
      <c r="G66" s="19"/>
      <c r="H66" s="4"/>
      <c r="I66" s="4"/>
      <c r="J66" s="4"/>
      <c r="K66" s="4"/>
      <c r="L66" s="4"/>
      <c r="M66" s="4"/>
      <c r="N66" s="4"/>
      <c r="O66" s="4"/>
      <c r="P66" s="4"/>
      <c r="Q66" s="20" t="str">
        <f t="shared" si="1"/>
        <v/>
      </c>
      <c r="R66" s="39"/>
      <c r="S66" s="2"/>
    </row>
    <row r="67" spans="1:19" x14ac:dyDescent="0.4">
      <c r="A67" s="17" t="str">
        <f>IF(AND(D67="",D67=""),"",$D$3&amp;"_"&amp;ROW()-11-COUNTBLANK($D$12:D67))</f>
        <v>ConvertRate_46</v>
      </c>
      <c r="B67" s="40" t="s">
        <v>111</v>
      </c>
      <c r="C67" s="6" t="s">
        <v>112</v>
      </c>
      <c r="D67" s="41" t="s">
        <v>113</v>
      </c>
      <c r="E67" s="19"/>
      <c r="F67" s="19"/>
      <c r="G67" s="19"/>
      <c r="H67" s="4"/>
      <c r="I67" s="4"/>
      <c r="J67" s="4"/>
      <c r="K67" s="4"/>
      <c r="L67" s="4"/>
      <c r="M67" s="4"/>
      <c r="N67" s="4"/>
      <c r="O67" s="4"/>
      <c r="P67" s="4"/>
      <c r="Q67" s="20" t="str">
        <f t="shared" si="1"/>
        <v/>
      </c>
      <c r="R67" s="39"/>
      <c r="S67" s="2"/>
    </row>
    <row r="68" spans="1:19" x14ac:dyDescent="0.4">
      <c r="A68" s="17" t="str">
        <f>IF(AND(D68="",D68=""),"",$D$3&amp;"_"&amp;ROW()-11-COUNTBLANK($D$12:D68))</f>
        <v>ConvertRate_47</v>
      </c>
      <c r="B68" s="42"/>
      <c r="C68" s="27" t="s">
        <v>114</v>
      </c>
      <c r="D68" s="27" t="s">
        <v>115</v>
      </c>
      <c r="E68" s="19"/>
      <c r="F68" s="19"/>
      <c r="G68" s="19"/>
      <c r="H68" s="4"/>
      <c r="I68" s="4"/>
      <c r="J68" s="4"/>
      <c r="K68" s="4"/>
      <c r="L68" s="4"/>
      <c r="M68" s="4"/>
      <c r="N68" s="4"/>
      <c r="O68" s="4"/>
      <c r="P68" s="4"/>
      <c r="Q68" s="20" t="str">
        <f t="shared" si="1"/>
        <v/>
      </c>
      <c r="R68" s="39"/>
      <c r="S68" s="2"/>
    </row>
    <row r="69" spans="1:19" x14ac:dyDescent="0.4">
      <c r="A69" s="17" t="str">
        <f>IF(AND(D69="",D69=""),"",$D$3&amp;"_"&amp;ROW()-11-COUNTBLANK($D$12:D69))</f>
        <v>ConvertRate_48</v>
      </c>
      <c r="B69" s="43"/>
      <c r="C69" s="21" t="s">
        <v>116</v>
      </c>
      <c r="D69" s="27" t="s">
        <v>115</v>
      </c>
      <c r="E69" s="19"/>
      <c r="F69" s="19"/>
      <c r="G69" s="19"/>
      <c r="H69" s="4"/>
      <c r="I69" s="4"/>
      <c r="J69" s="4"/>
      <c r="K69" s="4"/>
      <c r="L69" s="4"/>
      <c r="M69" s="4"/>
      <c r="N69" s="4"/>
      <c r="O69" s="4"/>
      <c r="P69" s="4"/>
      <c r="Q69" s="20" t="str">
        <f t="shared" si="1"/>
        <v/>
      </c>
      <c r="R69" s="5"/>
      <c r="S69" s="2"/>
    </row>
    <row r="70" spans="1:19" ht="46.5" x14ac:dyDescent="0.4">
      <c r="A70" s="17" t="str">
        <f>IF(AND(D70="",D70=""),"",$D$3&amp;"_"&amp;ROW()-11-COUNTBLANK($D$12:D70))</f>
        <v>ConvertRate_49</v>
      </c>
      <c r="B70" s="34" t="s">
        <v>117</v>
      </c>
      <c r="C70" s="21" t="s">
        <v>118</v>
      </c>
      <c r="D70" s="34" t="s">
        <v>86</v>
      </c>
      <c r="E70" s="19"/>
      <c r="F70" s="19"/>
      <c r="G70" s="19"/>
      <c r="H70" s="4"/>
      <c r="I70" s="4"/>
      <c r="J70" s="4"/>
      <c r="K70" s="4"/>
      <c r="L70" s="4"/>
      <c r="M70" s="4"/>
      <c r="N70" s="4"/>
      <c r="O70" s="4"/>
      <c r="P70" s="4"/>
      <c r="Q70" s="20" t="str">
        <f t="shared" si="1"/>
        <v/>
      </c>
      <c r="R70" s="5"/>
      <c r="S70" s="2"/>
    </row>
    <row r="71" spans="1:19" x14ac:dyDescent="0.4">
      <c r="A71" s="17" t="str">
        <f>IF(AND(D71="",D71=""),"",$D$3&amp;"_"&amp;ROW()-11-COUNTBLANK($D$12:D71))</f>
        <v/>
      </c>
      <c r="B71" s="34"/>
      <c r="C71" s="21"/>
      <c r="D71" s="27"/>
      <c r="E71" s="19"/>
      <c r="F71" s="19"/>
      <c r="G71" s="19"/>
      <c r="H71" s="4"/>
      <c r="I71" s="4"/>
      <c r="J71" s="4"/>
      <c r="K71" s="4"/>
      <c r="L71" s="4"/>
      <c r="M71" s="4"/>
      <c r="N71" s="4"/>
      <c r="O71" s="4"/>
      <c r="P71" s="4"/>
      <c r="Q71" s="20" t="str">
        <f t="shared" si="1"/>
        <v/>
      </c>
      <c r="R71" s="5"/>
      <c r="S71" s="2"/>
    </row>
    <row r="72" spans="1:19" x14ac:dyDescent="0.4">
      <c r="A72" s="17" t="str">
        <f>IF(AND(D72="",D72=""),"",$D$3&amp;"_"&amp;ROW()-11-COUNTBLANK($D$12:D72))</f>
        <v/>
      </c>
      <c r="B72" s="34"/>
      <c r="C72" s="21"/>
      <c r="D72" s="27"/>
      <c r="E72" s="19"/>
      <c r="F72" s="19"/>
      <c r="G72" s="19"/>
      <c r="H72" s="4"/>
      <c r="I72" s="4"/>
      <c r="J72" s="4"/>
      <c r="K72" s="4"/>
      <c r="L72" s="4"/>
      <c r="M72" s="4"/>
      <c r="N72" s="4"/>
      <c r="O72" s="4"/>
      <c r="P72" s="4"/>
      <c r="Q72" s="20" t="str">
        <f t="shared" si="1"/>
        <v/>
      </c>
      <c r="R72" s="5"/>
      <c r="S72" s="2"/>
    </row>
    <row r="73" spans="1:19" x14ac:dyDescent="0.4">
      <c r="A73" s="17" t="str">
        <f>IF(AND(D73="",D73=""),"",$D$3&amp;"_"&amp;ROW()-11-COUNTBLANK($D$12:D73))</f>
        <v/>
      </c>
      <c r="B73" s="34"/>
      <c r="C73" s="21"/>
      <c r="D73" s="27"/>
      <c r="E73" s="19"/>
      <c r="F73" s="19"/>
      <c r="G73" s="19"/>
      <c r="H73" s="4"/>
      <c r="I73" s="4"/>
      <c r="J73" s="4"/>
      <c r="K73" s="4"/>
      <c r="L73" s="4"/>
      <c r="M73" s="4"/>
      <c r="N73" s="4"/>
      <c r="O73" s="4"/>
      <c r="P73" s="4"/>
      <c r="Q73" s="20" t="str">
        <f t="shared" si="1"/>
        <v/>
      </c>
      <c r="R73" s="5"/>
      <c r="S73" s="2"/>
    </row>
    <row r="74" spans="1:19" x14ac:dyDescent="0.4">
      <c r="A74" s="17" t="str">
        <f>IF(AND(D74="",D74=""),"",$D$3&amp;"_"&amp;ROW()-11-COUNTBLANK($D$12:D74))</f>
        <v/>
      </c>
      <c r="B74" s="34"/>
      <c r="C74" s="21"/>
      <c r="D74" s="27"/>
      <c r="E74" s="19"/>
      <c r="F74" s="19"/>
      <c r="G74" s="19"/>
      <c r="H74" s="4"/>
      <c r="I74" s="4"/>
      <c r="J74" s="4"/>
      <c r="K74" s="4"/>
      <c r="L74" s="4"/>
      <c r="M74" s="4"/>
      <c r="N74" s="4"/>
      <c r="O74" s="4"/>
      <c r="P74" s="4"/>
      <c r="Q74" s="20" t="str">
        <f t="shared" si="1"/>
        <v/>
      </c>
      <c r="R74" s="5"/>
      <c r="S74" s="2"/>
    </row>
    <row r="75" spans="1:19" x14ac:dyDescent="0.4">
      <c r="A75" s="17" t="str">
        <f>IF(AND(D75="",D75=""),"",$D$3&amp;"_"&amp;ROW()-11-COUNTBLANK($D$12:D75))</f>
        <v/>
      </c>
      <c r="B75" s="34"/>
      <c r="C75" s="21"/>
      <c r="D75" s="27"/>
      <c r="E75" s="19"/>
      <c r="F75" s="19"/>
      <c r="G75" s="19"/>
      <c r="H75" s="4"/>
      <c r="I75" s="4"/>
      <c r="J75" s="4"/>
      <c r="K75" s="4"/>
      <c r="L75" s="4"/>
      <c r="M75" s="4"/>
      <c r="N75" s="4"/>
      <c r="O75" s="4"/>
      <c r="P75" s="4"/>
      <c r="Q75" s="20" t="str">
        <f t="shared" si="1"/>
        <v/>
      </c>
      <c r="R75" s="5"/>
      <c r="S75" s="2"/>
    </row>
    <row r="76" spans="1:19" x14ac:dyDescent="0.4">
      <c r="A76" s="17" t="str">
        <f>IF(AND(D76="",D76=""),"",$D$3&amp;"_"&amp;ROW()-11-COUNTBLANK($D$12:D76))</f>
        <v/>
      </c>
      <c r="B76" s="34"/>
      <c r="C76" s="21"/>
      <c r="D76" s="27"/>
      <c r="E76" s="19"/>
      <c r="F76" s="19"/>
      <c r="G76" s="19"/>
      <c r="H76" s="4"/>
      <c r="I76" s="4"/>
      <c r="J76" s="4"/>
      <c r="K76" s="4"/>
      <c r="L76" s="4"/>
      <c r="M76" s="4"/>
      <c r="N76" s="4"/>
      <c r="O76" s="4"/>
      <c r="P76" s="4"/>
      <c r="Q76" s="20" t="str">
        <f t="shared" si="1"/>
        <v/>
      </c>
      <c r="R76" s="5"/>
      <c r="S76" s="2"/>
    </row>
    <row r="77" spans="1:19" x14ac:dyDescent="0.4">
      <c r="A77" s="17" t="str">
        <f>IF(AND(D77="",D77=""),"",$D$3&amp;"_"&amp;ROW()-11-COUNTBLANK($D$12:D77))</f>
        <v/>
      </c>
      <c r="B77" s="34"/>
      <c r="C77" s="21"/>
      <c r="D77" s="27"/>
      <c r="E77" s="19"/>
      <c r="F77" s="19"/>
      <c r="G77" s="19"/>
      <c r="H77" s="4"/>
      <c r="I77" s="4"/>
      <c r="J77" s="4"/>
      <c r="K77" s="4"/>
      <c r="L77" s="4"/>
      <c r="M77" s="4"/>
      <c r="N77" s="4"/>
      <c r="O77" s="4"/>
      <c r="P77" s="4"/>
      <c r="Q77" s="20" t="str">
        <f t="shared" si="1"/>
        <v/>
      </c>
      <c r="R77" s="5"/>
      <c r="S77" s="2"/>
    </row>
    <row r="78" spans="1:19" x14ac:dyDescent="0.4">
      <c r="A78" s="17" t="str">
        <f>IF(AND(D78="",D78=""),"",$D$3&amp;"_"&amp;ROW()-11-COUNTBLANK($D$12:D78))</f>
        <v/>
      </c>
      <c r="B78" s="34"/>
      <c r="C78" s="21"/>
      <c r="D78" s="27"/>
      <c r="E78" s="19"/>
      <c r="F78" s="19"/>
      <c r="G78" s="19"/>
      <c r="H78" s="4"/>
      <c r="I78" s="4"/>
      <c r="J78" s="4"/>
      <c r="K78" s="4"/>
      <c r="L78" s="4"/>
      <c r="M78" s="4"/>
      <c r="N78" s="4"/>
      <c r="O78" s="4"/>
      <c r="P78" s="4"/>
      <c r="Q78" s="20" t="str">
        <f t="shared" si="1"/>
        <v/>
      </c>
      <c r="R78" s="5"/>
      <c r="S78" s="2"/>
    </row>
    <row r="79" spans="1:19" x14ac:dyDescent="0.4">
      <c r="A79" s="17" t="str">
        <f>IF(AND(D79="",D79=""),"",$D$3&amp;"_"&amp;ROW()-11-COUNTBLANK($D$12:D79))</f>
        <v/>
      </c>
      <c r="B79" s="34"/>
      <c r="C79" s="21"/>
      <c r="D79" s="27"/>
      <c r="E79" s="19"/>
      <c r="F79" s="19"/>
      <c r="G79" s="19"/>
      <c r="H79" s="4"/>
      <c r="I79" s="4"/>
      <c r="J79" s="4"/>
      <c r="K79" s="4"/>
      <c r="L79" s="4"/>
      <c r="M79" s="4"/>
      <c r="N79" s="4"/>
      <c r="O79" s="4"/>
      <c r="P79" s="4"/>
      <c r="Q79" s="20" t="str">
        <f t="shared" si="1"/>
        <v/>
      </c>
      <c r="R79" s="5"/>
      <c r="S79" s="2"/>
    </row>
    <row r="80" spans="1:19" x14ac:dyDescent="0.4">
      <c r="A80" s="17" t="str">
        <f>IF(AND(D80="",D80=""),"",$D$3&amp;"_"&amp;ROW()-11-COUNTBLANK($D$12:D80))</f>
        <v/>
      </c>
      <c r="B80" s="34"/>
      <c r="C80" s="21"/>
      <c r="D80" s="27"/>
      <c r="E80" s="19"/>
      <c r="F80" s="19"/>
      <c r="G80" s="19"/>
      <c r="H80" s="4"/>
      <c r="I80" s="4"/>
      <c r="J80" s="4"/>
      <c r="K80" s="4"/>
      <c r="L80" s="4"/>
      <c r="M80" s="4"/>
      <c r="N80" s="4"/>
      <c r="O80" s="4"/>
      <c r="P80" s="4"/>
      <c r="Q80" s="20" t="str">
        <f t="shared" si="1"/>
        <v/>
      </c>
      <c r="R80" s="5"/>
      <c r="S80" s="2"/>
    </row>
    <row r="81" spans="1:19" x14ac:dyDescent="0.4">
      <c r="A81" s="17" t="str">
        <f>IF(AND(D81="",D81=""),"",$D$3&amp;"_"&amp;ROW()-11-COUNTBLANK($D$12:D81))</f>
        <v/>
      </c>
      <c r="B81" s="34"/>
      <c r="C81" s="21"/>
      <c r="D81" s="27"/>
      <c r="E81" s="19"/>
      <c r="F81" s="19"/>
      <c r="G81" s="19"/>
      <c r="H81" s="4"/>
      <c r="I81" s="4"/>
      <c r="J81" s="4"/>
      <c r="K81" s="4"/>
      <c r="L81" s="4"/>
      <c r="M81" s="4"/>
      <c r="N81" s="4"/>
      <c r="O81" s="4"/>
      <c r="P81" s="4"/>
      <c r="Q81" s="20" t="str">
        <f t="shared" si="1"/>
        <v/>
      </c>
      <c r="R81" s="5"/>
      <c r="S81" s="2"/>
    </row>
    <row r="82" spans="1:19" x14ac:dyDescent="0.4">
      <c r="A82" s="17" t="str">
        <f>IF(AND(D82="",D82=""),"",$D$3&amp;"_"&amp;ROW()-11-COUNTBLANK($D$12:D82))</f>
        <v/>
      </c>
      <c r="B82" s="34"/>
      <c r="C82" s="21"/>
      <c r="D82" s="27"/>
      <c r="E82" s="19"/>
      <c r="F82" s="19"/>
      <c r="G82" s="19"/>
      <c r="H82" s="4"/>
      <c r="I82" s="4"/>
      <c r="J82" s="4"/>
      <c r="K82" s="4"/>
      <c r="L82" s="4"/>
      <c r="M82" s="4"/>
      <c r="N82" s="4"/>
      <c r="O82" s="4"/>
      <c r="P82" s="4"/>
      <c r="Q82" s="20" t="str">
        <f t="shared" si="1"/>
        <v/>
      </c>
      <c r="R82" s="5"/>
      <c r="S82" s="2"/>
    </row>
    <row r="83" spans="1:19" x14ac:dyDescent="0.4">
      <c r="A83" s="17" t="str">
        <f>IF(AND(D83="",D83=""),"",$D$3&amp;"_"&amp;ROW()-11-COUNTBLANK($D$12:D83))</f>
        <v/>
      </c>
      <c r="B83" s="34"/>
      <c r="C83" s="21"/>
      <c r="D83" s="27"/>
      <c r="E83" s="19"/>
      <c r="F83" s="19"/>
      <c r="G83" s="19"/>
      <c r="H83" s="4"/>
      <c r="I83" s="4"/>
      <c r="J83" s="4"/>
      <c r="K83" s="4"/>
      <c r="L83" s="4"/>
      <c r="M83" s="4"/>
      <c r="N83" s="4"/>
      <c r="O83" s="4"/>
      <c r="P83" s="4"/>
      <c r="Q83" s="20" t="str">
        <f t="shared" si="1"/>
        <v/>
      </c>
      <c r="R83" s="5"/>
      <c r="S83" s="2"/>
    </row>
    <row r="84" spans="1:19" x14ac:dyDescent="0.4">
      <c r="A84" s="17" t="str">
        <f>IF(AND(D84="",D84=""),"",$D$3&amp;"_"&amp;ROW()-11-COUNTBLANK($D$12:D84))</f>
        <v/>
      </c>
      <c r="B84" s="26"/>
      <c r="C84" s="27"/>
      <c r="D84" s="27"/>
      <c r="E84" s="19"/>
      <c r="F84" s="19"/>
      <c r="G84" s="19"/>
      <c r="H84" s="4"/>
      <c r="I84" s="4"/>
      <c r="J84" s="4"/>
      <c r="K84" s="4"/>
      <c r="L84" s="4"/>
      <c r="M84" s="4"/>
      <c r="N84" s="4"/>
      <c r="O84" s="4"/>
      <c r="P84" s="4"/>
      <c r="Q84" s="20" t="str">
        <f t="shared" si="1"/>
        <v/>
      </c>
      <c r="R84" s="5"/>
      <c r="S84" s="2"/>
    </row>
    <row r="85" spans="1:19" x14ac:dyDescent="0.4">
      <c r="A85" s="17" t="str">
        <f>IF(AND(D85="",D85=""),"",$D$3&amp;"_"&amp;ROW()-11-COUNTBLANK($D$12:D85))</f>
        <v/>
      </c>
      <c r="B85" s="26"/>
      <c r="C85" s="27"/>
      <c r="D85" s="27"/>
      <c r="E85" s="19"/>
      <c r="F85" s="19"/>
      <c r="G85" s="19"/>
      <c r="H85" s="4"/>
      <c r="I85" s="4"/>
      <c r="J85" s="4"/>
      <c r="K85" s="4"/>
      <c r="L85" s="4"/>
      <c r="M85" s="4"/>
      <c r="N85" s="4"/>
      <c r="O85" s="4"/>
      <c r="P85" s="4"/>
      <c r="Q85" s="20" t="str">
        <f t="shared" si="1"/>
        <v/>
      </c>
      <c r="R85" s="39"/>
      <c r="S85" s="2"/>
    </row>
    <row r="86" spans="1:19" x14ac:dyDescent="0.4">
      <c r="A86" s="17" t="str">
        <f>IF(AND(D86="",D86=""),"",$D$3&amp;"_"&amp;ROW()-11-COUNTBLANK($D$12:D86))</f>
        <v/>
      </c>
      <c r="B86" s="26"/>
      <c r="C86" s="27"/>
      <c r="D86" s="41"/>
      <c r="E86" s="19"/>
      <c r="F86" s="19"/>
      <c r="G86" s="19"/>
      <c r="H86" s="4"/>
      <c r="I86" s="4"/>
      <c r="J86" s="4"/>
      <c r="K86" s="4"/>
      <c r="L86" s="4"/>
      <c r="M86" s="4"/>
      <c r="N86" s="4"/>
      <c r="O86" s="4"/>
      <c r="P86" s="4"/>
      <c r="Q86" s="20" t="str">
        <f t="shared" si="1"/>
        <v/>
      </c>
      <c r="R86" s="39"/>
      <c r="S86" s="2"/>
    </row>
    <row r="87" spans="1:19" x14ac:dyDescent="0.4">
      <c r="A87" s="17" t="str">
        <f>IF(AND(D87="",D87=""),"",$D$3&amp;"_"&amp;ROW()-11-COUNTBLANK($D$12:D87))</f>
        <v/>
      </c>
      <c r="B87" s="26"/>
      <c r="C87" s="27"/>
      <c r="D87" s="27"/>
      <c r="E87" s="19"/>
      <c r="F87" s="19"/>
      <c r="G87" s="19"/>
      <c r="H87" s="4"/>
      <c r="I87" s="4"/>
      <c r="J87" s="4"/>
      <c r="K87" s="4"/>
      <c r="L87" s="4"/>
      <c r="M87" s="4"/>
      <c r="N87" s="4"/>
      <c r="O87" s="4"/>
      <c r="P87" s="4"/>
      <c r="Q87" s="20" t="str">
        <f t="shared" si="1"/>
        <v/>
      </c>
      <c r="R87" s="39"/>
      <c r="S87" s="2"/>
    </row>
    <row r="88" spans="1:19" x14ac:dyDescent="0.4">
      <c r="A88" s="17" t="str">
        <f>IF(AND(D88="",D88=""),"",$D$3&amp;"_"&amp;ROW()-11-COUNTBLANK($D$12:D88))</f>
        <v/>
      </c>
      <c r="B88" s="34"/>
      <c r="C88" s="21"/>
      <c r="D88" s="27"/>
      <c r="E88" s="19"/>
      <c r="F88" s="19"/>
      <c r="G88" s="19"/>
      <c r="H88" s="4"/>
      <c r="I88" s="4"/>
      <c r="J88" s="4"/>
      <c r="K88" s="4"/>
      <c r="L88" s="4"/>
      <c r="M88" s="4"/>
      <c r="N88" s="4"/>
      <c r="O88" s="4"/>
      <c r="P88" s="4"/>
      <c r="Q88" s="20" t="str">
        <f t="shared" si="1"/>
        <v/>
      </c>
      <c r="R88" s="5"/>
      <c r="S88" s="2"/>
    </row>
    <row r="89" spans="1:19" x14ac:dyDescent="0.4">
      <c r="A89" s="17" t="str">
        <f>IF(AND(D89="",D89=""),"",$D$3&amp;"_"&amp;ROW()-11-COUNTBLANK($D$12:D89))</f>
        <v/>
      </c>
      <c r="B89" s="34"/>
      <c r="C89" s="21"/>
      <c r="D89" s="27"/>
      <c r="E89" s="19"/>
      <c r="F89" s="19"/>
      <c r="G89" s="19"/>
      <c r="H89" s="4"/>
      <c r="I89" s="4"/>
      <c r="J89" s="4"/>
      <c r="K89" s="4"/>
      <c r="L89" s="4"/>
      <c r="M89" s="4"/>
      <c r="N89" s="4"/>
      <c r="O89" s="4"/>
      <c r="P89" s="4"/>
      <c r="Q89" s="20" t="str">
        <f t="shared" si="1"/>
        <v/>
      </c>
      <c r="R89" s="5"/>
      <c r="S89" s="2"/>
    </row>
    <row r="90" spans="1:19" x14ac:dyDescent="0.4">
      <c r="A90" s="17" t="str">
        <f>IF(AND(D90="",D90=""),"",$D$3&amp;"_"&amp;ROW()-11-COUNTBLANK($D$12:D90))</f>
        <v/>
      </c>
      <c r="B90" s="34"/>
      <c r="C90" s="21"/>
      <c r="D90" s="27"/>
      <c r="E90" s="19"/>
      <c r="F90" s="19"/>
      <c r="G90" s="19"/>
      <c r="H90" s="4"/>
      <c r="I90" s="4"/>
      <c r="J90" s="4"/>
      <c r="K90" s="4"/>
      <c r="L90" s="4"/>
      <c r="M90" s="4"/>
      <c r="N90" s="4"/>
      <c r="O90" s="4"/>
      <c r="P90" s="4"/>
      <c r="Q90" s="20" t="str">
        <f t="shared" si="1"/>
        <v/>
      </c>
      <c r="R90" s="5"/>
      <c r="S90" s="2"/>
    </row>
    <row r="91" spans="1:19" x14ac:dyDescent="0.4">
      <c r="A91" s="17" t="str">
        <f>IF(AND(D91="",D91=""),"",$D$3&amp;"_"&amp;ROW()-11-COUNTBLANK($D$12:D91))</f>
        <v/>
      </c>
      <c r="B91" s="34"/>
      <c r="C91" s="21"/>
      <c r="D91" s="27"/>
      <c r="E91" s="19"/>
      <c r="F91" s="19"/>
      <c r="G91" s="19"/>
      <c r="H91" s="4"/>
      <c r="I91" s="4"/>
      <c r="J91" s="4"/>
      <c r="K91" s="4"/>
      <c r="L91" s="4"/>
      <c r="M91" s="4"/>
      <c r="N91" s="4"/>
      <c r="O91" s="4"/>
      <c r="P91" s="4"/>
      <c r="Q91" s="20" t="str">
        <f t="shared" si="1"/>
        <v/>
      </c>
      <c r="R91" s="5"/>
      <c r="S91" s="2"/>
    </row>
    <row r="92" spans="1:19" x14ac:dyDescent="0.4">
      <c r="A92" s="17" t="str">
        <f>IF(AND(D92="",D92=""),"",$D$3&amp;"_"&amp;ROW()-11-COUNTBLANK($D$12:D92))</f>
        <v/>
      </c>
      <c r="B92" s="34"/>
      <c r="C92" s="21"/>
      <c r="D92" s="27"/>
      <c r="E92" s="19"/>
      <c r="F92" s="19"/>
      <c r="G92" s="19"/>
      <c r="H92" s="4"/>
      <c r="I92" s="4"/>
      <c r="J92" s="4"/>
      <c r="K92" s="4"/>
      <c r="L92" s="4"/>
      <c r="M92" s="4"/>
      <c r="N92" s="4"/>
      <c r="O92" s="4"/>
      <c r="P92" s="4"/>
      <c r="Q92" s="20" t="str">
        <f t="shared" si="1"/>
        <v/>
      </c>
      <c r="R92" s="5"/>
      <c r="S92" s="2"/>
    </row>
    <row r="93" spans="1:19" x14ac:dyDescent="0.4">
      <c r="A93" s="17" t="str">
        <f>IF(AND(D93="",D93=""),"",$D$3&amp;"_"&amp;ROW()-11-COUNTBLANK($D$12:D93))</f>
        <v/>
      </c>
      <c r="B93" s="34"/>
      <c r="C93" s="21"/>
      <c r="D93" s="27"/>
      <c r="E93" s="19"/>
      <c r="F93" s="19"/>
      <c r="G93" s="19"/>
      <c r="H93" s="4"/>
      <c r="I93" s="4"/>
      <c r="J93" s="4"/>
      <c r="K93" s="4"/>
      <c r="L93" s="4"/>
      <c r="M93" s="4"/>
      <c r="N93" s="4"/>
      <c r="O93" s="4"/>
      <c r="P93" s="4"/>
      <c r="Q93" s="20" t="str">
        <f t="shared" si="1"/>
        <v/>
      </c>
      <c r="R93" s="5"/>
      <c r="S93" s="2"/>
    </row>
    <row r="94" spans="1:19" x14ac:dyDescent="0.4">
      <c r="A94" s="17" t="str">
        <f>IF(AND(D94="",D94=""),"",$D$3&amp;"_"&amp;ROW()-11-COUNTBLANK($D$12:D94))</f>
        <v/>
      </c>
      <c r="B94" s="34"/>
      <c r="C94" s="21"/>
      <c r="D94" s="27"/>
      <c r="E94" s="19"/>
      <c r="F94" s="19"/>
      <c r="G94" s="19"/>
      <c r="H94" s="4"/>
      <c r="I94" s="4"/>
      <c r="J94" s="4"/>
      <c r="K94" s="4"/>
      <c r="L94" s="4"/>
      <c r="M94" s="4"/>
      <c r="N94" s="4"/>
      <c r="O94" s="4"/>
      <c r="P94" s="4"/>
      <c r="Q94" s="20" t="str">
        <f t="shared" si="1"/>
        <v/>
      </c>
      <c r="R94" s="5"/>
      <c r="S94" s="2"/>
    </row>
    <row r="95" spans="1:19" x14ac:dyDescent="0.4">
      <c r="A95" s="17" t="str">
        <f>IF(AND(D95="",D95=""),"",$D$3&amp;"_"&amp;ROW()-11-COUNTBLANK($D$12:D95))</f>
        <v/>
      </c>
      <c r="B95" s="34"/>
      <c r="C95" s="21"/>
      <c r="D95" s="27"/>
      <c r="E95" s="19"/>
      <c r="F95" s="19"/>
      <c r="G95" s="19"/>
      <c r="H95" s="4"/>
      <c r="I95" s="4"/>
      <c r="J95" s="4"/>
      <c r="K95" s="4"/>
      <c r="L95" s="4"/>
      <c r="M95" s="4"/>
      <c r="N95" s="4"/>
      <c r="O95" s="4"/>
      <c r="P95" s="4"/>
      <c r="Q95" s="20" t="str">
        <f t="shared" si="1"/>
        <v/>
      </c>
      <c r="R95" s="5"/>
      <c r="S95" s="2"/>
    </row>
    <row r="96" spans="1:19" x14ac:dyDescent="0.4">
      <c r="A96" s="17" t="str">
        <f>IF(AND(D96="",D96=""),"",$D$3&amp;"_"&amp;ROW()-11-COUNTBLANK($D$12:D96))</f>
        <v/>
      </c>
      <c r="B96" s="34"/>
      <c r="C96" s="21"/>
      <c r="D96" s="27"/>
      <c r="E96" s="19"/>
      <c r="F96" s="19"/>
      <c r="G96" s="19"/>
      <c r="H96" s="4"/>
      <c r="I96" s="4"/>
      <c r="J96" s="4"/>
      <c r="K96" s="4"/>
      <c r="L96" s="4"/>
      <c r="M96" s="4"/>
      <c r="N96" s="4"/>
      <c r="O96" s="4"/>
      <c r="P96" s="4"/>
      <c r="Q96" s="20" t="str">
        <f t="shared" si="1"/>
        <v/>
      </c>
      <c r="R96" s="5"/>
      <c r="S96" s="2"/>
    </row>
    <row r="97" spans="1:19" x14ac:dyDescent="0.4">
      <c r="A97" s="17" t="str">
        <f>IF(AND(D97="",D97=""),"",$D$3&amp;"_"&amp;ROW()-11-COUNTBLANK($D$12:D97))</f>
        <v/>
      </c>
      <c r="B97" s="34"/>
      <c r="C97" s="21"/>
      <c r="D97" s="27"/>
      <c r="E97" s="19"/>
      <c r="F97" s="19"/>
      <c r="G97" s="19"/>
      <c r="H97" s="4"/>
      <c r="I97" s="4"/>
      <c r="J97" s="4"/>
      <c r="K97" s="4"/>
      <c r="L97" s="4"/>
      <c r="M97" s="4"/>
      <c r="N97" s="4"/>
      <c r="O97" s="4"/>
      <c r="P97" s="4"/>
      <c r="Q97" s="20" t="str">
        <f t="shared" si="1"/>
        <v/>
      </c>
      <c r="R97" s="5"/>
      <c r="S97" s="2"/>
    </row>
    <row r="98" spans="1:19" x14ac:dyDescent="0.4">
      <c r="A98" s="17" t="str">
        <f>IF(AND(D98="",D98=""),"",$D$3&amp;"_"&amp;ROW()-11-COUNTBLANK($D$12:D98))</f>
        <v/>
      </c>
      <c r="B98" s="34"/>
      <c r="C98" s="21"/>
      <c r="D98" s="27"/>
      <c r="E98" s="19"/>
      <c r="F98" s="19"/>
      <c r="G98" s="19"/>
      <c r="H98" s="4"/>
      <c r="I98" s="4"/>
      <c r="J98" s="4"/>
      <c r="K98" s="4"/>
      <c r="L98" s="4"/>
      <c r="M98" s="4"/>
      <c r="N98" s="4"/>
      <c r="O98" s="4"/>
      <c r="P98" s="4"/>
      <c r="Q98" s="20" t="str">
        <f t="shared" si="1"/>
        <v/>
      </c>
      <c r="R98" s="5"/>
      <c r="S98" s="2"/>
    </row>
    <row r="99" spans="1:19" x14ac:dyDescent="0.4">
      <c r="A99" s="17" t="str">
        <f>IF(AND(D99="",D99=""),"",$D$3&amp;"_"&amp;ROW()-11-COUNTBLANK($D$12:D99))</f>
        <v/>
      </c>
      <c r="B99" s="34"/>
      <c r="C99" s="21"/>
      <c r="D99" s="27"/>
      <c r="E99" s="19"/>
      <c r="F99" s="19"/>
      <c r="G99" s="19"/>
      <c r="H99" s="4"/>
      <c r="I99" s="4"/>
      <c r="J99" s="4"/>
      <c r="K99" s="4"/>
      <c r="L99" s="4"/>
      <c r="M99" s="4"/>
      <c r="N99" s="4"/>
      <c r="O99" s="4"/>
      <c r="P99" s="4"/>
      <c r="Q99" s="20" t="str">
        <f t="shared" si="1"/>
        <v/>
      </c>
      <c r="R99" s="5"/>
      <c r="S99" s="2"/>
    </row>
    <row r="100" spans="1:19" x14ac:dyDescent="0.4">
      <c r="A100" s="17" t="str">
        <f>IF(AND(D100="",D100=""),"",$D$3&amp;"_"&amp;ROW()-11-COUNTBLANK($D$12:D100))</f>
        <v/>
      </c>
      <c r="B100" s="34"/>
      <c r="C100" s="21"/>
      <c r="D100" s="27"/>
      <c r="E100" s="19"/>
      <c r="F100" s="19"/>
      <c r="G100" s="19"/>
      <c r="H100" s="4"/>
      <c r="I100" s="4"/>
      <c r="J100" s="4"/>
      <c r="K100" s="4"/>
      <c r="L100" s="4"/>
      <c r="M100" s="4"/>
      <c r="N100" s="4"/>
      <c r="O100" s="4"/>
      <c r="P100" s="4"/>
      <c r="Q100" s="20" t="str">
        <f t="shared" si="1"/>
        <v/>
      </c>
      <c r="R100" s="5"/>
      <c r="S100" s="2"/>
    </row>
    <row r="101" spans="1:19" x14ac:dyDescent="0.4">
      <c r="A101" s="17" t="str">
        <f>IF(AND(D101="",D101=""),"",$D$3&amp;"_"&amp;ROW()-11-COUNTBLANK($D$12:D101))</f>
        <v/>
      </c>
      <c r="B101" s="34"/>
      <c r="C101" s="21"/>
      <c r="D101" s="27"/>
      <c r="E101" s="19"/>
      <c r="F101" s="19"/>
      <c r="G101" s="19"/>
      <c r="H101" s="4"/>
      <c r="I101" s="4"/>
      <c r="J101" s="4"/>
      <c r="K101" s="4"/>
      <c r="L101" s="4"/>
      <c r="M101" s="4"/>
      <c r="N101" s="4"/>
      <c r="O101" s="4"/>
      <c r="P101" s="4"/>
      <c r="Q101" s="20" t="str">
        <f t="shared" si="1"/>
        <v/>
      </c>
      <c r="R101" s="5"/>
      <c r="S101" s="2"/>
    </row>
    <row r="102" spans="1:19" x14ac:dyDescent="0.4">
      <c r="A102" s="17" t="str">
        <f>IF(AND(D102="",D102=""),"",$D$3&amp;"_"&amp;ROW()-11-COUNTBLANK($D$12:D102))</f>
        <v/>
      </c>
      <c r="B102" s="34"/>
      <c r="C102" s="21"/>
      <c r="D102" s="27"/>
      <c r="E102" s="19"/>
      <c r="F102" s="19"/>
      <c r="G102" s="19"/>
      <c r="H102" s="4"/>
      <c r="I102" s="4"/>
      <c r="J102" s="4"/>
      <c r="K102" s="4"/>
      <c r="L102" s="4"/>
      <c r="M102" s="4"/>
      <c r="N102" s="4"/>
      <c r="O102" s="4"/>
      <c r="P102" s="4"/>
      <c r="Q102" s="20" t="str">
        <f t="shared" si="1"/>
        <v/>
      </c>
      <c r="R102" s="5"/>
      <c r="S102" s="2"/>
    </row>
    <row r="103" spans="1:19" x14ac:dyDescent="0.4">
      <c r="A103" s="17" t="str">
        <f>IF(AND(D103="",D103=""),"",$D$3&amp;"_"&amp;ROW()-11-COUNTBLANK($D$12:D103))</f>
        <v/>
      </c>
      <c r="B103" s="26"/>
      <c r="C103" s="27"/>
      <c r="D103" s="27"/>
      <c r="E103" s="19"/>
      <c r="F103" s="19"/>
      <c r="G103" s="19"/>
      <c r="H103" s="4"/>
      <c r="I103" s="4"/>
      <c r="J103" s="4"/>
      <c r="K103" s="4"/>
      <c r="L103" s="4"/>
      <c r="M103" s="4"/>
      <c r="N103" s="4"/>
      <c r="O103" s="4"/>
      <c r="P103" s="4"/>
      <c r="Q103" s="20" t="str">
        <f t="shared" si="1"/>
        <v/>
      </c>
      <c r="R103" s="5"/>
      <c r="S103" s="2"/>
    </row>
    <row r="104" spans="1:19" x14ac:dyDescent="0.4">
      <c r="A104" s="17" t="str">
        <f>IF(AND(D104="",D104=""),"",$D$3&amp;"_"&amp;ROW()-11-COUNTBLANK($D$12:D104))</f>
        <v/>
      </c>
      <c r="B104" s="26"/>
      <c r="C104" s="27"/>
      <c r="D104" s="27"/>
      <c r="E104" s="19"/>
      <c r="F104" s="19"/>
      <c r="G104" s="19"/>
      <c r="H104" s="4"/>
      <c r="I104" s="4"/>
      <c r="J104" s="4"/>
      <c r="K104" s="4"/>
      <c r="L104" s="4"/>
      <c r="M104" s="4"/>
      <c r="N104" s="4"/>
      <c r="O104" s="4"/>
      <c r="P104" s="4"/>
      <c r="Q104" s="20" t="str">
        <f t="shared" si="1"/>
        <v/>
      </c>
      <c r="R104" s="39"/>
      <c r="S104" s="2"/>
    </row>
    <row r="105" spans="1:19" x14ac:dyDescent="0.4">
      <c r="A105" s="17" t="str">
        <f>IF(AND(D105="",D105=""),"",$D$3&amp;"_"&amp;ROW()-11-COUNTBLANK($D$12:D105))</f>
        <v/>
      </c>
      <c r="B105" s="26"/>
      <c r="C105" s="27"/>
      <c r="D105" s="41"/>
      <c r="E105" s="19"/>
      <c r="F105" s="19"/>
      <c r="G105" s="19"/>
      <c r="H105" s="4"/>
      <c r="I105" s="4"/>
      <c r="J105" s="4"/>
      <c r="K105" s="4"/>
      <c r="L105" s="4"/>
      <c r="M105" s="4"/>
      <c r="N105" s="4"/>
      <c r="O105" s="4"/>
      <c r="P105" s="4"/>
      <c r="Q105" s="20" t="str">
        <f t="shared" si="1"/>
        <v/>
      </c>
      <c r="R105" s="39"/>
      <c r="S105" s="2"/>
    </row>
    <row r="106" spans="1:19" x14ac:dyDescent="0.4">
      <c r="A106" s="17" t="str">
        <f>IF(AND(D106="",D106=""),"",$D$3&amp;"_"&amp;ROW()-11-COUNTBLANK($D$12:D106))</f>
        <v/>
      </c>
      <c r="B106" s="26"/>
      <c r="C106" s="27"/>
      <c r="D106" s="27"/>
      <c r="E106" s="19"/>
      <c r="F106" s="19"/>
      <c r="G106" s="19"/>
      <c r="H106" s="4"/>
      <c r="I106" s="4"/>
      <c r="J106" s="4"/>
      <c r="K106" s="4"/>
      <c r="L106" s="4"/>
      <c r="M106" s="4"/>
      <c r="N106" s="4"/>
      <c r="O106" s="4"/>
      <c r="P106" s="4"/>
      <c r="Q106" s="20" t="str">
        <f t="shared" si="1"/>
        <v/>
      </c>
      <c r="R106" s="39"/>
      <c r="S106" s="2"/>
    </row>
    <row r="107" spans="1:19" x14ac:dyDescent="0.4">
      <c r="A107" s="17" t="str">
        <f>IF(AND(D107="",D107=""),"",$D$3&amp;"_"&amp;ROW()-11-COUNTBLANK($D$12:D107))</f>
        <v/>
      </c>
      <c r="B107" s="34"/>
      <c r="C107" s="21"/>
      <c r="D107" s="27"/>
      <c r="E107" s="19"/>
      <c r="F107" s="19"/>
      <c r="G107" s="19"/>
      <c r="H107" s="4"/>
      <c r="I107" s="4"/>
      <c r="J107" s="4"/>
      <c r="K107" s="4"/>
      <c r="L107" s="4"/>
      <c r="M107" s="4"/>
      <c r="N107" s="4"/>
      <c r="O107" s="4"/>
      <c r="P107" s="4"/>
      <c r="Q107" s="20" t="str">
        <f t="shared" si="1"/>
        <v/>
      </c>
      <c r="R107" s="5"/>
      <c r="S107" s="2"/>
    </row>
    <row r="108" spans="1:19" x14ac:dyDescent="0.4">
      <c r="A108" s="17" t="str">
        <f>IF(AND(D108="",D108=""),"",$D$3&amp;"_"&amp;ROW()-11-COUNTBLANK($D$12:D108))</f>
        <v/>
      </c>
      <c r="B108" s="34"/>
      <c r="C108" s="21"/>
      <c r="D108" s="27"/>
      <c r="E108" s="19"/>
      <c r="F108" s="19"/>
      <c r="G108" s="19"/>
      <c r="H108" s="4"/>
      <c r="I108" s="4"/>
      <c r="J108" s="4"/>
      <c r="K108" s="4"/>
      <c r="L108" s="4"/>
      <c r="M108" s="4"/>
      <c r="N108" s="4"/>
      <c r="O108" s="4"/>
      <c r="P108" s="4"/>
      <c r="Q108" s="20" t="str">
        <f t="shared" si="1"/>
        <v/>
      </c>
      <c r="R108" s="5"/>
      <c r="S108" s="2"/>
    </row>
    <row r="109" spans="1:19" x14ac:dyDescent="0.4">
      <c r="A109" s="17" t="str">
        <f>IF(AND(D109="",D109=""),"",$D$3&amp;"_"&amp;ROW()-11-COUNTBLANK($D$12:D109))</f>
        <v/>
      </c>
      <c r="B109" s="34"/>
      <c r="C109" s="21"/>
      <c r="D109" s="27"/>
      <c r="E109" s="19"/>
      <c r="F109" s="19"/>
      <c r="G109" s="19"/>
      <c r="H109" s="4"/>
      <c r="I109" s="4"/>
      <c r="J109" s="4"/>
      <c r="K109" s="4"/>
      <c r="L109" s="4"/>
      <c r="M109" s="4"/>
      <c r="N109" s="4"/>
      <c r="O109" s="4"/>
      <c r="P109" s="4"/>
      <c r="Q109" s="20" t="str">
        <f t="shared" si="1"/>
        <v/>
      </c>
      <c r="R109" s="5"/>
      <c r="S109" s="2"/>
    </row>
    <row r="110" spans="1:19" x14ac:dyDescent="0.4">
      <c r="A110" s="17" t="str">
        <f>IF(AND(D110="",D110=""),"",$D$3&amp;"_"&amp;ROW()-11-COUNTBLANK($D$12:D110))</f>
        <v/>
      </c>
      <c r="B110" s="34"/>
      <c r="C110" s="21"/>
      <c r="D110" s="27"/>
      <c r="E110" s="19"/>
      <c r="F110" s="19"/>
      <c r="G110" s="19"/>
      <c r="H110" s="4"/>
      <c r="I110" s="4"/>
      <c r="J110" s="4"/>
      <c r="K110" s="4"/>
      <c r="L110" s="4"/>
      <c r="M110" s="4"/>
      <c r="N110" s="4"/>
      <c r="O110" s="4"/>
      <c r="P110" s="4"/>
      <c r="Q110" s="20" t="str">
        <f t="shared" si="1"/>
        <v/>
      </c>
      <c r="R110" s="5"/>
      <c r="S110" s="2"/>
    </row>
    <row r="111" spans="1:19" x14ac:dyDescent="0.4">
      <c r="A111" s="17" t="str">
        <f>IF(AND(D111="",D111=""),"",$D$3&amp;"_"&amp;ROW()-11-COUNTBLANK($D$12:D111))</f>
        <v/>
      </c>
      <c r="B111" s="34"/>
      <c r="C111" s="21"/>
      <c r="D111" s="27"/>
      <c r="E111" s="19"/>
      <c r="F111" s="19"/>
      <c r="G111" s="19"/>
      <c r="H111" s="4"/>
      <c r="I111" s="4"/>
      <c r="J111" s="4"/>
      <c r="K111" s="4"/>
      <c r="L111" s="4"/>
      <c r="M111" s="4"/>
      <c r="N111" s="4"/>
      <c r="O111" s="4"/>
      <c r="P111" s="4"/>
      <c r="Q111" s="20" t="str">
        <f t="shared" si="1"/>
        <v/>
      </c>
      <c r="R111" s="5"/>
      <c r="S111" s="2"/>
    </row>
    <row r="112" spans="1:19" x14ac:dyDescent="0.4">
      <c r="A112" s="17" t="str">
        <f>IF(AND(D112="",D112=""),"",$D$3&amp;"_"&amp;ROW()-11-COUNTBLANK($D$12:D112))</f>
        <v/>
      </c>
      <c r="B112" s="34"/>
      <c r="C112" s="21"/>
      <c r="D112" s="27"/>
      <c r="E112" s="19"/>
      <c r="F112" s="19"/>
      <c r="G112" s="19"/>
      <c r="H112" s="4"/>
      <c r="I112" s="4"/>
      <c r="J112" s="4"/>
      <c r="K112" s="4"/>
      <c r="L112" s="4"/>
      <c r="M112" s="4"/>
      <c r="N112" s="4"/>
      <c r="O112" s="4"/>
      <c r="P112" s="4"/>
      <c r="Q112" s="20" t="str">
        <f t="shared" si="1"/>
        <v/>
      </c>
      <c r="R112" s="5"/>
      <c r="S112" s="2"/>
    </row>
    <row r="113" spans="1:19" x14ac:dyDescent="0.4">
      <c r="A113" s="17" t="str">
        <f>IF(AND(D113="",D113=""),"",$D$3&amp;"_"&amp;ROW()-11-COUNTBLANK($D$12:D113))</f>
        <v/>
      </c>
      <c r="B113" s="34"/>
      <c r="C113" s="21"/>
      <c r="D113" s="27"/>
      <c r="E113" s="19"/>
      <c r="F113" s="19"/>
      <c r="G113" s="19"/>
      <c r="H113" s="4"/>
      <c r="I113" s="4"/>
      <c r="J113" s="4"/>
      <c r="K113" s="4"/>
      <c r="L113" s="4"/>
      <c r="M113" s="4"/>
      <c r="N113" s="4"/>
      <c r="O113" s="4"/>
      <c r="P113" s="4"/>
      <c r="Q113" s="20" t="str">
        <f t="shared" si="1"/>
        <v/>
      </c>
      <c r="R113" s="5"/>
      <c r="S113" s="2"/>
    </row>
    <row r="114" spans="1:19" x14ac:dyDescent="0.4">
      <c r="A114" s="17" t="str">
        <f>IF(AND(D114="",D114=""),"",$D$3&amp;"_"&amp;ROW()-11-COUNTBLANK($D$12:D114))</f>
        <v/>
      </c>
      <c r="B114" s="34"/>
      <c r="C114" s="21"/>
      <c r="D114" s="27"/>
      <c r="E114" s="19"/>
      <c r="F114" s="19"/>
      <c r="G114" s="19"/>
      <c r="H114" s="4"/>
      <c r="I114" s="4"/>
      <c r="J114" s="4"/>
      <c r="K114" s="4"/>
      <c r="L114" s="4"/>
      <c r="M114" s="4"/>
      <c r="N114" s="4"/>
      <c r="O114" s="4"/>
      <c r="P114" s="4"/>
      <c r="Q114" s="20" t="str">
        <f t="shared" si="1"/>
        <v/>
      </c>
      <c r="R114" s="5"/>
      <c r="S114" s="2"/>
    </row>
    <row r="115" spans="1:19" x14ac:dyDescent="0.4">
      <c r="A115" s="17" t="str">
        <f>IF(AND(D115="",D115=""),"",$D$3&amp;"_"&amp;ROW()-11-COUNTBLANK($D$12:D115))</f>
        <v/>
      </c>
      <c r="B115" s="34"/>
      <c r="C115" s="21"/>
      <c r="D115" s="27"/>
      <c r="E115" s="19"/>
      <c r="F115" s="19"/>
      <c r="G115" s="19"/>
      <c r="H115" s="4"/>
      <c r="I115" s="4"/>
      <c r="J115" s="4"/>
      <c r="K115" s="4"/>
      <c r="L115" s="4"/>
      <c r="M115" s="4"/>
      <c r="N115" s="4"/>
      <c r="O115" s="4"/>
      <c r="P115" s="4"/>
      <c r="Q115" s="20" t="str">
        <f t="shared" si="1"/>
        <v/>
      </c>
      <c r="R115" s="5"/>
      <c r="S115" s="2"/>
    </row>
    <row r="116" spans="1:19" x14ac:dyDescent="0.4">
      <c r="A116" s="17" t="str">
        <f>IF(AND(D116="",D116=""),"",$D$3&amp;"_"&amp;ROW()-11-COUNTBLANK($D$12:D116))</f>
        <v/>
      </c>
      <c r="B116" s="34"/>
      <c r="C116" s="21"/>
      <c r="D116" s="27"/>
      <c r="E116" s="19"/>
      <c r="F116" s="19"/>
      <c r="G116" s="19"/>
      <c r="H116" s="4"/>
      <c r="I116" s="4"/>
      <c r="J116" s="4"/>
      <c r="K116" s="4"/>
      <c r="L116" s="4"/>
      <c r="M116" s="4"/>
      <c r="N116" s="4"/>
      <c r="O116" s="4"/>
      <c r="P116" s="4"/>
      <c r="Q116" s="20" t="str">
        <f t="shared" si="1"/>
        <v/>
      </c>
      <c r="R116" s="5"/>
      <c r="S116" s="2"/>
    </row>
    <row r="117" spans="1:19" x14ac:dyDescent="0.4">
      <c r="A117" s="17" t="str">
        <f>IF(AND(D117="",D117=""),"",$D$3&amp;"_"&amp;ROW()-11-COUNTBLANK($D$12:D117))</f>
        <v/>
      </c>
      <c r="B117" s="34"/>
      <c r="C117" s="21"/>
      <c r="D117" s="27"/>
      <c r="E117" s="19"/>
      <c r="F117" s="19"/>
      <c r="G117" s="19"/>
      <c r="H117" s="4"/>
      <c r="I117" s="4"/>
      <c r="J117" s="4"/>
      <c r="K117" s="4"/>
      <c r="L117" s="4"/>
      <c r="M117" s="4"/>
      <c r="N117" s="4"/>
      <c r="O117" s="4"/>
      <c r="P117" s="4"/>
      <c r="Q117" s="20" t="str">
        <f t="shared" si="1"/>
        <v/>
      </c>
      <c r="R117" s="5"/>
      <c r="S117" s="2"/>
    </row>
    <row r="118" spans="1:19" x14ac:dyDescent="0.4">
      <c r="A118" s="17" t="str">
        <f>IF(AND(D118="",D118=""),"",$D$3&amp;"_"&amp;ROW()-11-COUNTBLANK($D$12:D118))</f>
        <v/>
      </c>
      <c r="B118" s="34"/>
      <c r="C118" s="21"/>
      <c r="D118" s="27"/>
      <c r="E118" s="19"/>
      <c r="F118" s="19"/>
      <c r="G118" s="19"/>
      <c r="H118" s="4"/>
      <c r="I118" s="4"/>
      <c r="J118" s="4"/>
      <c r="K118" s="4"/>
      <c r="L118" s="4"/>
      <c r="M118" s="4"/>
      <c r="N118" s="4"/>
      <c r="O118" s="4"/>
      <c r="P118" s="4"/>
      <c r="Q118" s="20" t="str">
        <f t="shared" si="1"/>
        <v/>
      </c>
      <c r="R118" s="5"/>
      <c r="S118" s="2"/>
    </row>
    <row r="119" spans="1:19" x14ac:dyDescent="0.4">
      <c r="A119" s="17" t="str">
        <f>IF(AND(D119="",D119=""),"",$D$3&amp;"_"&amp;ROW()-11-COUNTBLANK($D$12:D119))</f>
        <v/>
      </c>
      <c r="B119" s="34"/>
      <c r="C119" s="21"/>
      <c r="D119" s="27"/>
      <c r="E119" s="19"/>
      <c r="F119" s="19"/>
      <c r="G119" s="19"/>
      <c r="H119" s="4"/>
      <c r="I119" s="4"/>
      <c r="J119" s="4"/>
      <c r="K119" s="4"/>
      <c r="L119" s="4"/>
      <c r="M119" s="4"/>
      <c r="N119" s="4"/>
      <c r="O119" s="4"/>
      <c r="P119" s="4"/>
      <c r="Q119" s="20" t="str">
        <f t="shared" si="1"/>
        <v/>
      </c>
      <c r="R119" s="5"/>
      <c r="S119" s="2"/>
    </row>
    <row r="120" spans="1:19" x14ac:dyDescent="0.4">
      <c r="A120" s="17" t="str">
        <f>IF(AND(D120="",D120=""),"",$D$3&amp;"_"&amp;ROW()-11-COUNTBLANK($D$12:D120))</f>
        <v/>
      </c>
      <c r="B120" s="34"/>
      <c r="C120" s="21"/>
      <c r="D120" s="27"/>
      <c r="E120" s="19"/>
      <c r="F120" s="19"/>
      <c r="G120" s="19"/>
      <c r="H120" s="4"/>
      <c r="I120" s="4"/>
      <c r="J120" s="4"/>
      <c r="K120" s="4"/>
      <c r="L120" s="4"/>
      <c r="M120" s="4"/>
      <c r="N120" s="4"/>
      <c r="O120" s="4"/>
      <c r="P120" s="4"/>
      <c r="Q120" s="20" t="str">
        <f t="shared" si="1"/>
        <v/>
      </c>
      <c r="R120" s="5"/>
      <c r="S120" s="2"/>
    </row>
    <row r="121" spans="1:19" x14ac:dyDescent="0.4">
      <c r="A121" s="17" t="str">
        <f>IF(AND(D121="",D121=""),"",$D$3&amp;"_"&amp;ROW()-11-COUNTBLANK($D$12:D121))</f>
        <v/>
      </c>
      <c r="B121" s="34"/>
      <c r="C121" s="21"/>
      <c r="D121" s="27"/>
      <c r="E121" s="19"/>
      <c r="F121" s="19"/>
      <c r="G121" s="19"/>
      <c r="H121" s="4"/>
      <c r="I121" s="4"/>
      <c r="J121" s="4"/>
      <c r="K121" s="4"/>
      <c r="L121" s="4"/>
      <c r="M121" s="4"/>
      <c r="N121" s="4"/>
      <c r="O121" s="4"/>
      <c r="P121" s="4"/>
      <c r="Q121" s="20" t="str">
        <f t="shared" si="1"/>
        <v/>
      </c>
      <c r="R121" s="5"/>
      <c r="S121" s="2"/>
    </row>
    <row r="122" spans="1:19" x14ac:dyDescent="0.4">
      <c r="A122" s="17" t="str">
        <f>IF(AND(D122="",D122=""),"",$D$3&amp;"_"&amp;ROW()-11-COUNTBLANK($D$12:D122))</f>
        <v/>
      </c>
      <c r="B122" s="26"/>
      <c r="C122" s="27"/>
      <c r="D122" s="27"/>
      <c r="E122" s="19"/>
      <c r="F122" s="19"/>
      <c r="G122" s="19"/>
      <c r="H122" s="4"/>
      <c r="I122" s="4"/>
      <c r="J122" s="4"/>
      <c r="K122" s="4"/>
      <c r="L122" s="4"/>
      <c r="M122" s="4"/>
      <c r="N122" s="4"/>
      <c r="O122" s="4"/>
      <c r="P122" s="4"/>
      <c r="Q122" s="20" t="str">
        <f t="shared" si="1"/>
        <v/>
      </c>
      <c r="R122" s="5"/>
      <c r="S122" s="2"/>
    </row>
    <row r="123" spans="1:19" x14ac:dyDescent="0.4">
      <c r="A123" s="17" t="str">
        <f>IF(AND(D123="",D123=""),"",$D$3&amp;"_"&amp;ROW()-11-COUNTBLANK($D$12:D123))</f>
        <v/>
      </c>
      <c r="B123" s="26"/>
      <c r="C123" s="27"/>
      <c r="D123" s="27"/>
      <c r="E123" s="19"/>
      <c r="F123" s="19"/>
      <c r="G123" s="19"/>
      <c r="H123" s="4"/>
      <c r="I123" s="4"/>
      <c r="J123" s="4"/>
      <c r="K123" s="4"/>
      <c r="L123" s="4"/>
      <c r="M123" s="4"/>
      <c r="N123" s="4"/>
      <c r="O123" s="4"/>
      <c r="P123" s="4"/>
      <c r="Q123" s="20" t="str">
        <f t="shared" si="1"/>
        <v/>
      </c>
      <c r="R123" s="39"/>
      <c r="S123" s="2"/>
    </row>
    <row r="124" spans="1:19" x14ac:dyDescent="0.4">
      <c r="A124" s="17" t="str">
        <f>IF(AND(D124="",D124=""),"",$D$3&amp;"_"&amp;ROW()-11-COUNTBLANK($D$12:D124))</f>
        <v/>
      </c>
      <c r="B124" s="26"/>
      <c r="C124" s="27"/>
      <c r="D124" s="41"/>
      <c r="E124" s="19"/>
      <c r="F124" s="19"/>
      <c r="G124" s="19"/>
      <c r="H124" s="4"/>
      <c r="I124" s="4"/>
      <c r="J124" s="4"/>
      <c r="K124" s="4"/>
      <c r="L124" s="4"/>
      <c r="M124" s="4"/>
      <c r="N124" s="4"/>
      <c r="O124" s="4"/>
      <c r="P124" s="4"/>
      <c r="Q124" s="20" t="str">
        <f t="shared" ref="Q124:Q135" si="2">IF(OR(IF(G124="",IF(F124="",IF(E124="","",E124),F124),G124)="F",IF(J124="",IF(I124="",IF(H124="","",H124),I124),J124)="F",IF(M124="",IF(L124="",IF(K124="","",K124),L124),M124)="F",IF(P124="",IF(O124="",IF(N124="","",N124),O124),P124)="F")=TRUE,"F",IF(OR(IF(G124="",IF(F124="",IF(E124="","",E124),F124),G124)="PE",IF(J124="",IF(I124="",IF(H124="","",H124),I124),J124)="PE",IF(M124="",IF(L124="",IF(K124="","",K124),L124),M124)="PE",IF(P124="",IF(O124="",IF(N124="","",N124),O124),P124)="PE")=TRUE,"PE",IF(AND(IF(G124="",IF(F124="",IF(E124="","",E124),F124),G124)="",IF(J124="",IF(I124="",IF(H124="","",H124),I124),J124)="",IF(M124="",IF(L124="",IF(K124="","",K124),L124),M124)="",IF(P124="",IF(O124="",IF(N124="","",N124),O124),P124)="")=TRUE,"","P")))</f>
        <v/>
      </c>
      <c r="R124" s="39"/>
      <c r="S124" s="2"/>
    </row>
    <row r="125" spans="1:19" x14ac:dyDescent="0.4">
      <c r="A125" s="17" t="str">
        <f>IF(AND(D125="",D125=""),"",$D$3&amp;"_"&amp;ROW()-11-COUNTBLANK($D$12:D125))</f>
        <v/>
      </c>
      <c r="B125" s="26"/>
      <c r="C125" s="27"/>
      <c r="D125" s="27"/>
      <c r="E125" s="19"/>
      <c r="F125" s="19"/>
      <c r="G125" s="19"/>
      <c r="H125" s="4"/>
      <c r="I125" s="4"/>
      <c r="J125" s="4"/>
      <c r="K125" s="4"/>
      <c r="L125" s="4"/>
      <c r="M125" s="4"/>
      <c r="N125" s="4"/>
      <c r="O125" s="4"/>
      <c r="P125" s="4"/>
      <c r="Q125" s="20" t="str">
        <f t="shared" si="2"/>
        <v/>
      </c>
      <c r="R125" s="39"/>
      <c r="S125" s="2"/>
    </row>
  </sheetData>
  <mergeCells count="27">
    <mergeCell ref="B50:D50"/>
    <mergeCell ref="B55:B63"/>
    <mergeCell ref="B67:B69"/>
    <mergeCell ref="B35:D35"/>
    <mergeCell ref="B39:B40"/>
    <mergeCell ref="B41:D41"/>
    <mergeCell ref="B43:D43"/>
    <mergeCell ref="B45:D45"/>
    <mergeCell ref="B46:D46"/>
    <mergeCell ref="B12:D12"/>
    <mergeCell ref="B13:D13"/>
    <mergeCell ref="B20:D20"/>
    <mergeCell ref="B23:B26"/>
    <mergeCell ref="B29:D29"/>
    <mergeCell ref="B33:B34"/>
    <mergeCell ref="H10:J10"/>
    <mergeCell ref="K10:M10"/>
    <mergeCell ref="N10:P10"/>
    <mergeCell ref="Q10:Q11"/>
    <mergeCell ref="R10:R11"/>
    <mergeCell ref="S10:S11"/>
    <mergeCell ref="C1:D1"/>
    <mergeCell ref="A10:A11"/>
    <mergeCell ref="B10:B11"/>
    <mergeCell ref="C10:C11"/>
    <mergeCell ref="D10:D11"/>
    <mergeCell ref="E10:G10"/>
  </mergeCells>
  <conditionalFormatting sqref="E1:Q125">
    <cfRule type="cellIs" priority="1" stopIfTrue="1" operator="equal">
      <formula>"P"</formula>
    </cfRule>
    <cfRule type="cellIs" dxfId="1" priority="2" stopIfTrue="1" operator="equal">
      <formula>"F"</formula>
    </cfRule>
    <cfRule type="cellIs" dxfId="0" priority="3" stopIfTrue="1" operator="equal">
      <formula>"PE"</formula>
    </cfRule>
  </conditionalFormatting>
  <dataValidations count="1">
    <dataValidation type="list" allowBlank="1" showInputMessage="1" showErrorMessage="1" sqref="E1:P9 E12:P125" xr:uid="{92FDCBBB-39F2-4678-BC9C-5290C2BA53A9}">
      <formula1>"P,F,PE"</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Requirement</vt:lpstr>
      <vt:lpstr>Login</vt:lpstr>
      <vt:lpstr>login_logic</vt:lpstr>
      <vt:lpstr>Signup</vt:lpstr>
      <vt:lpstr>ConvertRate_logic</vt:lpstr>
      <vt:lpstr>ConvertRate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 Vương</dc:creator>
  <cp:lastModifiedBy>Linh Vương</cp:lastModifiedBy>
  <dcterms:created xsi:type="dcterms:W3CDTF">2026-10-28T10:07:23Z</dcterms:created>
  <dcterms:modified xsi:type="dcterms:W3CDTF">2026-10-28T10:22:13Z</dcterms:modified>
</cp:coreProperties>
</file>